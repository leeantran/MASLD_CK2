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SLD_CK2\"/>
    </mc:Choice>
  </mc:AlternateContent>
  <xr:revisionPtr revIDLastSave="0" documentId="13_ncr:1_{80DFADD9-1C12-4BED-AECC-1CBBBF846807}" xr6:coauthVersionLast="47" xr6:coauthVersionMax="47" xr10:uidLastSave="{00000000-0000-0000-0000-000000000000}"/>
  <bookViews>
    <workbookView xWindow="-120" yWindow="-120" windowWidth="29040" windowHeight="15720" xr2:uid="{3D5C3477-CD10-CF4B-B9CC-CAB50B50473E}"/>
  </bookViews>
  <sheets>
    <sheet name="Sheet1" sheetId="1" r:id="rId1"/>
  </sheets>
  <definedNames>
    <definedName name="_xlnm._FilterDatabase" localSheetId="0" hidden="1">Sheet1!$A$1:$X$524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18" i="1" l="1"/>
  <c r="W519" i="1"/>
  <c r="W520" i="1"/>
  <c r="W521" i="1"/>
  <c r="W522" i="1"/>
  <c r="W523" i="1"/>
  <c r="W524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H524" i="1"/>
  <c r="X524" i="1" s="1"/>
  <c r="H523" i="1"/>
  <c r="X523" i="1" s="1"/>
  <c r="H522" i="1"/>
  <c r="X522" i="1" s="1"/>
  <c r="H521" i="1"/>
  <c r="X521" i="1" s="1"/>
  <c r="H520" i="1"/>
  <c r="X520" i="1" s="1"/>
  <c r="H519" i="1"/>
  <c r="X519" i="1" s="1"/>
  <c r="H518" i="1"/>
  <c r="X518" i="1" s="1"/>
  <c r="H517" i="1"/>
  <c r="X517" i="1" s="1"/>
  <c r="H516" i="1"/>
  <c r="X516" i="1" s="1"/>
  <c r="H515" i="1"/>
  <c r="X515" i="1" s="1"/>
  <c r="H514" i="1"/>
  <c r="X514" i="1" s="1"/>
  <c r="H513" i="1"/>
  <c r="X513" i="1" s="1"/>
  <c r="H512" i="1"/>
  <c r="X512" i="1" s="1"/>
  <c r="H511" i="1"/>
  <c r="X511" i="1" s="1"/>
  <c r="H510" i="1"/>
  <c r="X510" i="1" s="1"/>
  <c r="H509" i="1"/>
  <c r="X509" i="1" s="1"/>
  <c r="H508" i="1"/>
  <c r="X508" i="1" s="1"/>
  <c r="H507" i="1"/>
  <c r="X507" i="1" s="1"/>
  <c r="H506" i="1"/>
  <c r="X506" i="1" s="1"/>
  <c r="H505" i="1"/>
  <c r="X505" i="1" s="1"/>
  <c r="H504" i="1"/>
  <c r="X504" i="1" s="1"/>
  <c r="H503" i="1"/>
  <c r="X503" i="1" s="1"/>
  <c r="H502" i="1"/>
  <c r="X502" i="1" s="1"/>
  <c r="H501" i="1"/>
  <c r="X501" i="1" s="1"/>
  <c r="H500" i="1"/>
  <c r="X500" i="1" s="1"/>
  <c r="H499" i="1"/>
  <c r="X499" i="1" s="1"/>
  <c r="H498" i="1"/>
  <c r="X498" i="1" s="1"/>
  <c r="H497" i="1"/>
  <c r="X497" i="1" s="1"/>
  <c r="H496" i="1"/>
  <c r="X496" i="1" s="1"/>
  <c r="H495" i="1"/>
  <c r="X495" i="1" s="1"/>
  <c r="H494" i="1"/>
  <c r="X494" i="1" s="1"/>
  <c r="H493" i="1"/>
  <c r="X493" i="1" s="1"/>
  <c r="H492" i="1"/>
  <c r="X492" i="1" s="1"/>
  <c r="H491" i="1"/>
  <c r="X491" i="1" s="1"/>
  <c r="H490" i="1"/>
  <c r="X490" i="1" s="1"/>
  <c r="H489" i="1"/>
  <c r="X489" i="1" s="1"/>
  <c r="H488" i="1"/>
  <c r="X488" i="1" s="1"/>
  <c r="H487" i="1"/>
  <c r="X487" i="1" s="1"/>
  <c r="H486" i="1"/>
  <c r="X486" i="1" s="1"/>
  <c r="H485" i="1"/>
  <c r="X485" i="1" s="1"/>
  <c r="H484" i="1"/>
  <c r="X484" i="1" s="1"/>
  <c r="H483" i="1"/>
  <c r="X483" i="1" s="1"/>
  <c r="H482" i="1"/>
  <c r="X482" i="1" s="1"/>
  <c r="H481" i="1"/>
  <c r="X481" i="1" s="1"/>
  <c r="H480" i="1"/>
  <c r="X480" i="1" s="1"/>
  <c r="H479" i="1"/>
  <c r="X479" i="1" s="1"/>
  <c r="H478" i="1"/>
  <c r="X478" i="1" s="1"/>
  <c r="H477" i="1"/>
  <c r="X477" i="1" s="1"/>
  <c r="H476" i="1"/>
  <c r="X476" i="1" s="1"/>
  <c r="H475" i="1"/>
  <c r="X475" i="1" s="1"/>
  <c r="H474" i="1"/>
  <c r="X474" i="1" s="1"/>
  <c r="H473" i="1"/>
  <c r="X473" i="1" s="1"/>
  <c r="H472" i="1"/>
  <c r="X472" i="1" s="1"/>
  <c r="H471" i="1"/>
  <c r="X471" i="1" s="1"/>
  <c r="H470" i="1"/>
  <c r="X470" i="1" s="1"/>
  <c r="H469" i="1"/>
  <c r="X469" i="1" s="1"/>
  <c r="H468" i="1"/>
  <c r="X468" i="1" s="1"/>
  <c r="H467" i="1"/>
  <c r="X467" i="1" s="1"/>
  <c r="H466" i="1"/>
  <c r="X466" i="1" s="1"/>
  <c r="H465" i="1"/>
  <c r="X465" i="1" s="1"/>
  <c r="H464" i="1"/>
  <c r="X464" i="1" s="1"/>
  <c r="H463" i="1"/>
  <c r="X463" i="1" s="1"/>
  <c r="H462" i="1"/>
  <c r="X462" i="1" s="1"/>
  <c r="H461" i="1"/>
  <c r="X461" i="1" s="1"/>
  <c r="H460" i="1"/>
  <c r="H459" i="1"/>
  <c r="W458" i="1"/>
  <c r="H458" i="1"/>
  <c r="X458" i="1" s="1"/>
  <c r="W457" i="1"/>
  <c r="H457" i="1"/>
  <c r="X457" i="1" s="1"/>
  <c r="W456" i="1"/>
  <c r="H456" i="1"/>
  <c r="X456" i="1" s="1"/>
  <c r="W455" i="1"/>
  <c r="H455" i="1"/>
  <c r="X455" i="1" s="1"/>
  <c r="W454" i="1"/>
  <c r="H454" i="1"/>
  <c r="X454" i="1" s="1"/>
  <c r="H453" i="1"/>
  <c r="X453" i="1" s="1"/>
  <c r="H452" i="1"/>
  <c r="X452" i="1" s="1"/>
  <c r="H451" i="1"/>
  <c r="X451" i="1" s="1"/>
  <c r="H450" i="1"/>
  <c r="X450" i="1" s="1"/>
  <c r="H449" i="1"/>
  <c r="X449" i="1" s="1"/>
  <c r="W453" i="1"/>
  <c r="W452" i="1"/>
  <c r="W451" i="1"/>
  <c r="W450" i="1"/>
  <c r="W446" i="1"/>
  <c r="W447" i="1"/>
  <c r="W448" i="1"/>
  <c r="W449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288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38" i="1"/>
  <c r="W139" i="1"/>
  <c r="W140" i="1"/>
  <c r="W141" i="1"/>
  <c r="W142" i="1"/>
  <c r="W143" i="1"/>
  <c r="W144" i="1"/>
  <c r="W145" i="1"/>
  <c r="W146" i="1"/>
  <c r="W147" i="1"/>
  <c r="W148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17" i="1"/>
  <c r="W18" i="1"/>
  <c r="W19" i="1"/>
  <c r="W20" i="1"/>
  <c r="W21" i="1"/>
  <c r="W22" i="1"/>
  <c r="W23" i="1"/>
  <c r="W24" i="1"/>
  <c r="W25" i="1"/>
  <c r="W26" i="1"/>
  <c r="W27" i="1"/>
  <c r="W2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3" i="1"/>
  <c r="W2" i="1"/>
  <c r="H448" i="1"/>
  <c r="X448" i="1" s="1"/>
  <c r="H447" i="1"/>
  <c r="X447" i="1" s="1"/>
  <c r="H446" i="1"/>
  <c r="X446" i="1" s="1"/>
  <c r="H445" i="1"/>
  <c r="X445" i="1" s="1"/>
  <c r="H444" i="1"/>
  <c r="X444" i="1" s="1"/>
  <c r="H443" i="1"/>
  <c r="X443" i="1" s="1"/>
  <c r="H442" i="1"/>
  <c r="X442" i="1" s="1"/>
  <c r="H441" i="1"/>
  <c r="X441" i="1" s="1"/>
  <c r="H440" i="1"/>
  <c r="X440" i="1" s="1"/>
  <c r="H439" i="1"/>
  <c r="X439" i="1" s="1"/>
  <c r="H438" i="1"/>
  <c r="X438" i="1" s="1"/>
  <c r="H437" i="1"/>
  <c r="X437" i="1" s="1"/>
  <c r="H436" i="1"/>
  <c r="X436" i="1" s="1"/>
  <c r="H435" i="1"/>
  <c r="X435" i="1" s="1"/>
  <c r="H434" i="1"/>
  <c r="X434" i="1" s="1"/>
  <c r="H433" i="1"/>
  <c r="X433" i="1" s="1"/>
  <c r="H428" i="1"/>
  <c r="X428" i="1" s="1"/>
  <c r="H405" i="1"/>
  <c r="X405" i="1" s="1"/>
  <c r="H402" i="1"/>
  <c r="X402" i="1" s="1"/>
  <c r="H400" i="1"/>
  <c r="X400" i="1" s="1"/>
  <c r="H395" i="1"/>
  <c r="X395" i="1" s="1"/>
  <c r="H386" i="1"/>
  <c r="X386" i="1" s="1"/>
  <c r="H382" i="1"/>
  <c r="X382" i="1" s="1"/>
  <c r="H379" i="1"/>
  <c r="X379" i="1" s="1"/>
  <c r="H372" i="1"/>
  <c r="X372" i="1" s="1"/>
  <c r="H371" i="1"/>
  <c r="X371" i="1" s="1"/>
  <c r="H368" i="1"/>
  <c r="X368" i="1" s="1"/>
  <c r="H367" i="1"/>
  <c r="X367" i="1" s="1"/>
  <c r="H352" i="1"/>
  <c r="X352" i="1" s="1"/>
  <c r="H345" i="1"/>
  <c r="X345" i="1" s="1"/>
  <c r="H344" i="1"/>
  <c r="X344" i="1" s="1"/>
  <c r="H335" i="1"/>
  <c r="X335" i="1" s="1"/>
  <c r="H332" i="1"/>
  <c r="X332" i="1" s="1"/>
  <c r="H321" i="1"/>
  <c r="X321" i="1" s="1"/>
  <c r="H320" i="1"/>
  <c r="X320" i="1" s="1"/>
  <c r="H319" i="1"/>
  <c r="X319" i="1" s="1"/>
  <c r="H314" i="1"/>
  <c r="X314" i="1" s="1"/>
  <c r="H313" i="1"/>
  <c r="X313" i="1" s="1"/>
  <c r="H311" i="1"/>
  <c r="X311" i="1" s="1"/>
  <c r="H310" i="1"/>
  <c r="X310" i="1" s="1"/>
  <c r="H308" i="1"/>
  <c r="X308" i="1" s="1"/>
  <c r="H307" i="1"/>
  <c r="X307" i="1" s="1"/>
  <c r="H306" i="1"/>
  <c r="X306" i="1" s="1"/>
  <c r="H304" i="1"/>
  <c r="X304" i="1" s="1"/>
  <c r="H15" i="1"/>
  <c r="X15" i="1" s="1"/>
  <c r="N14" i="1"/>
  <c r="H14" i="1"/>
  <c r="X14" i="1" s="1"/>
  <c r="H303" i="1"/>
  <c r="X303" i="1" s="1"/>
  <c r="H302" i="1"/>
  <c r="X302" i="1" s="1"/>
  <c r="H289" i="1"/>
  <c r="H287" i="1"/>
  <c r="X287" i="1" s="1"/>
  <c r="H282" i="1"/>
  <c r="X282" i="1" s="1"/>
  <c r="H277" i="1"/>
  <c r="X277" i="1" s="1"/>
  <c r="H275" i="1"/>
  <c r="X275" i="1" s="1"/>
  <c r="H262" i="1"/>
  <c r="X262" i="1" s="1"/>
  <c r="H261" i="1"/>
  <c r="X261" i="1" s="1"/>
  <c r="H257" i="1"/>
  <c r="X257" i="1" s="1"/>
  <c r="H256" i="1"/>
  <c r="X256" i="1" s="1"/>
  <c r="H237" i="1"/>
  <c r="X237" i="1" s="1"/>
  <c r="H216" i="1"/>
  <c r="X216" i="1" s="1"/>
  <c r="H213" i="1"/>
  <c r="X213" i="1" s="1"/>
  <c r="H207" i="1"/>
  <c r="X207" i="1" s="1"/>
  <c r="H206" i="1"/>
  <c r="X206" i="1" s="1"/>
  <c r="H205" i="1"/>
  <c r="X205" i="1" s="1"/>
  <c r="H196" i="1"/>
  <c r="X196" i="1" s="1"/>
  <c r="H193" i="1"/>
  <c r="X193" i="1" s="1"/>
  <c r="H187" i="1"/>
  <c r="X187" i="1" s="1"/>
  <c r="H170" i="1"/>
  <c r="X170" i="1" s="1"/>
  <c r="H169" i="1"/>
  <c r="X169" i="1" s="1"/>
  <c r="H168" i="1"/>
  <c r="X168" i="1" s="1"/>
  <c r="H163" i="1"/>
  <c r="X163" i="1" s="1"/>
  <c r="H160" i="1"/>
  <c r="X160" i="1" s="1"/>
  <c r="H157" i="1"/>
  <c r="X157" i="1" s="1"/>
  <c r="H152" i="1"/>
  <c r="X152" i="1" s="1"/>
  <c r="H144" i="1"/>
  <c r="X144" i="1" s="1"/>
  <c r="H142" i="1"/>
  <c r="X142" i="1" s="1"/>
  <c r="H132" i="1"/>
  <c r="X132" i="1" s="1"/>
  <c r="H130" i="1"/>
  <c r="X130" i="1" s="1"/>
  <c r="H128" i="1"/>
  <c r="X128" i="1" s="1"/>
  <c r="H122" i="1"/>
  <c r="X122" i="1" s="1"/>
  <c r="H120" i="1"/>
  <c r="X120" i="1" s="1"/>
  <c r="H107" i="1"/>
  <c r="X107" i="1" s="1"/>
  <c r="H102" i="1"/>
  <c r="X102" i="1" s="1"/>
  <c r="H91" i="1"/>
  <c r="X91" i="1" s="1"/>
  <c r="H64" i="1"/>
  <c r="X64" i="1" s="1"/>
  <c r="H431" i="1"/>
  <c r="X431" i="1" s="1"/>
  <c r="H430" i="1"/>
  <c r="X430" i="1" s="1"/>
  <c r="H429" i="1"/>
  <c r="X429" i="1" s="1"/>
  <c r="H427" i="1"/>
  <c r="X427" i="1" s="1"/>
  <c r="H426" i="1"/>
  <c r="X426" i="1" s="1"/>
  <c r="H432" i="1"/>
  <c r="X432" i="1" s="1"/>
  <c r="H425" i="1"/>
  <c r="X425" i="1" s="1"/>
  <c r="H424" i="1"/>
  <c r="X424" i="1" s="1"/>
  <c r="H423" i="1"/>
  <c r="X423" i="1" s="1"/>
  <c r="H422" i="1"/>
  <c r="X422" i="1" s="1"/>
  <c r="H421" i="1"/>
  <c r="X421" i="1" s="1"/>
  <c r="H420" i="1"/>
  <c r="X420" i="1" s="1"/>
  <c r="H419" i="1"/>
  <c r="X419" i="1" s="1"/>
  <c r="H418" i="1"/>
  <c r="X418" i="1" s="1"/>
  <c r="H417" i="1"/>
  <c r="X417" i="1" s="1"/>
  <c r="H416" i="1"/>
  <c r="X416" i="1" s="1"/>
  <c r="H415" i="1"/>
  <c r="X415" i="1" s="1"/>
  <c r="H414" i="1"/>
  <c r="X414" i="1" s="1"/>
  <c r="H413" i="1"/>
  <c r="X413" i="1" s="1"/>
  <c r="H412" i="1"/>
  <c r="X412" i="1" s="1"/>
  <c r="H411" i="1"/>
  <c r="X411" i="1" s="1"/>
  <c r="H410" i="1"/>
  <c r="X410" i="1" s="1"/>
  <c r="H409" i="1"/>
  <c r="X409" i="1" s="1"/>
  <c r="H408" i="1"/>
  <c r="X408" i="1" s="1"/>
  <c r="H407" i="1"/>
  <c r="X407" i="1" s="1"/>
  <c r="H406" i="1"/>
  <c r="X406" i="1" s="1"/>
  <c r="H404" i="1"/>
  <c r="X404" i="1" s="1"/>
  <c r="H403" i="1"/>
  <c r="X403" i="1" s="1"/>
  <c r="H401" i="1"/>
  <c r="X401" i="1" s="1"/>
  <c r="H399" i="1"/>
  <c r="X399" i="1" s="1"/>
  <c r="H398" i="1"/>
  <c r="X398" i="1" s="1"/>
  <c r="H397" i="1"/>
  <c r="X397" i="1" s="1"/>
  <c r="H396" i="1"/>
  <c r="X396" i="1" s="1"/>
  <c r="H394" i="1"/>
  <c r="X394" i="1" s="1"/>
  <c r="H393" i="1"/>
  <c r="X393" i="1" s="1"/>
  <c r="H392" i="1"/>
  <c r="X392" i="1" s="1"/>
  <c r="H391" i="1"/>
  <c r="X391" i="1" s="1"/>
  <c r="H390" i="1"/>
  <c r="X390" i="1" s="1"/>
  <c r="H389" i="1"/>
  <c r="X389" i="1" s="1"/>
  <c r="H388" i="1"/>
  <c r="X388" i="1" s="1"/>
  <c r="H387" i="1"/>
  <c r="X387" i="1" s="1"/>
  <c r="H385" i="1"/>
  <c r="X385" i="1" s="1"/>
  <c r="H384" i="1"/>
  <c r="X384" i="1" s="1"/>
  <c r="H383" i="1"/>
  <c r="X383" i="1" s="1"/>
  <c r="H381" i="1"/>
  <c r="X381" i="1" s="1"/>
  <c r="H380" i="1"/>
  <c r="X380" i="1" s="1"/>
  <c r="H378" i="1"/>
  <c r="X378" i="1" s="1"/>
  <c r="H377" i="1"/>
  <c r="X377" i="1" s="1"/>
  <c r="H376" i="1"/>
  <c r="X376" i="1" s="1"/>
  <c r="H375" i="1"/>
  <c r="X375" i="1" s="1"/>
  <c r="H374" i="1"/>
  <c r="X374" i="1" s="1"/>
  <c r="H373" i="1"/>
  <c r="X373" i="1" s="1"/>
  <c r="H370" i="1"/>
  <c r="X370" i="1" s="1"/>
  <c r="H369" i="1"/>
  <c r="X369" i="1" s="1"/>
  <c r="H366" i="1"/>
  <c r="X366" i="1" s="1"/>
  <c r="H365" i="1"/>
  <c r="X365" i="1" s="1"/>
  <c r="H364" i="1"/>
  <c r="X364" i="1" s="1"/>
  <c r="H363" i="1"/>
  <c r="X363" i="1" s="1"/>
  <c r="H362" i="1"/>
  <c r="X362" i="1" s="1"/>
  <c r="H361" i="1"/>
  <c r="X361" i="1" s="1"/>
  <c r="H360" i="1"/>
  <c r="X360" i="1" s="1"/>
  <c r="H359" i="1"/>
  <c r="X359" i="1" s="1"/>
  <c r="H358" i="1"/>
  <c r="X358" i="1" s="1"/>
  <c r="H357" i="1"/>
  <c r="X357" i="1" s="1"/>
  <c r="H356" i="1"/>
  <c r="X356" i="1" s="1"/>
  <c r="H355" i="1"/>
  <c r="X355" i="1" s="1"/>
  <c r="H354" i="1"/>
  <c r="X354" i="1" s="1"/>
  <c r="H353" i="1"/>
  <c r="X353" i="1" s="1"/>
  <c r="H351" i="1"/>
  <c r="X351" i="1" s="1"/>
  <c r="H350" i="1"/>
  <c r="X350" i="1" s="1"/>
  <c r="H349" i="1"/>
  <c r="X349" i="1" s="1"/>
  <c r="H348" i="1"/>
  <c r="X348" i="1" s="1"/>
  <c r="H347" i="1"/>
  <c r="X347" i="1" s="1"/>
  <c r="H346" i="1"/>
  <c r="X346" i="1" s="1"/>
  <c r="H343" i="1"/>
  <c r="X343" i="1" s="1"/>
  <c r="H342" i="1"/>
  <c r="X342" i="1" s="1"/>
  <c r="H341" i="1"/>
  <c r="X341" i="1" s="1"/>
  <c r="H340" i="1"/>
  <c r="X340" i="1" s="1"/>
  <c r="H339" i="1"/>
  <c r="X339" i="1" s="1"/>
  <c r="H338" i="1"/>
  <c r="X338" i="1" s="1"/>
  <c r="H337" i="1"/>
  <c r="X337" i="1" s="1"/>
  <c r="H336" i="1"/>
  <c r="X336" i="1" s="1"/>
  <c r="H334" i="1"/>
  <c r="X334" i="1" s="1"/>
  <c r="H333" i="1"/>
  <c r="X333" i="1" s="1"/>
  <c r="H331" i="1"/>
  <c r="X331" i="1" s="1"/>
  <c r="H330" i="1"/>
  <c r="X330" i="1" s="1"/>
  <c r="H329" i="1"/>
  <c r="X329" i="1" s="1"/>
  <c r="H328" i="1"/>
  <c r="X328" i="1" s="1"/>
  <c r="H327" i="1"/>
  <c r="X327" i="1" s="1"/>
  <c r="H326" i="1"/>
  <c r="X326" i="1" s="1"/>
  <c r="H325" i="1"/>
  <c r="X325" i="1" s="1"/>
  <c r="H324" i="1"/>
  <c r="X324" i="1" s="1"/>
  <c r="H323" i="1"/>
  <c r="X323" i="1" s="1"/>
  <c r="H322" i="1"/>
  <c r="X322" i="1" s="1"/>
  <c r="H318" i="1"/>
  <c r="X318" i="1" s="1"/>
  <c r="H317" i="1"/>
  <c r="X317" i="1" s="1"/>
  <c r="H316" i="1"/>
  <c r="X316" i="1" s="1"/>
  <c r="H315" i="1"/>
  <c r="X315" i="1" s="1"/>
  <c r="H312" i="1"/>
  <c r="X312" i="1" s="1"/>
  <c r="H309" i="1"/>
  <c r="X309" i="1" s="1"/>
  <c r="H305" i="1"/>
  <c r="X305" i="1" s="1"/>
  <c r="H301" i="1"/>
  <c r="X301" i="1" s="1"/>
  <c r="H300" i="1"/>
  <c r="X300" i="1" s="1"/>
  <c r="H298" i="1"/>
  <c r="X298" i="1" s="1"/>
  <c r="H299" i="1"/>
  <c r="X299" i="1" s="1"/>
  <c r="H297" i="1"/>
  <c r="X297" i="1" s="1"/>
  <c r="H296" i="1"/>
  <c r="X296" i="1" s="1"/>
  <c r="H295" i="1"/>
  <c r="X295" i="1" s="1"/>
  <c r="H294" i="1"/>
  <c r="X294" i="1" s="1"/>
  <c r="H293" i="1"/>
  <c r="X293" i="1" s="1"/>
  <c r="H292" i="1"/>
  <c r="X292" i="1" s="1"/>
  <c r="H291" i="1"/>
  <c r="X291" i="1" s="1"/>
  <c r="H290" i="1"/>
  <c r="X290" i="1" s="1"/>
  <c r="H288" i="1"/>
  <c r="X288" i="1" s="1"/>
  <c r="H286" i="1"/>
  <c r="X286" i="1" s="1"/>
  <c r="H285" i="1"/>
  <c r="X285" i="1" s="1"/>
  <c r="H284" i="1"/>
  <c r="X284" i="1" s="1"/>
  <c r="H283" i="1"/>
  <c r="X283" i="1" s="1"/>
  <c r="H281" i="1"/>
  <c r="X281" i="1" s="1"/>
  <c r="H280" i="1"/>
  <c r="X280" i="1" s="1"/>
  <c r="H279" i="1"/>
  <c r="X279" i="1" s="1"/>
  <c r="H278" i="1"/>
  <c r="X278" i="1" s="1"/>
  <c r="H276" i="1"/>
  <c r="X276" i="1" s="1"/>
  <c r="H274" i="1"/>
  <c r="X274" i="1" s="1"/>
  <c r="H273" i="1"/>
  <c r="X273" i="1" s="1"/>
  <c r="H272" i="1"/>
  <c r="X272" i="1" s="1"/>
  <c r="H271" i="1"/>
  <c r="X271" i="1" s="1"/>
  <c r="H270" i="1"/>
  <c r="X270" i="1" s="1"/>
  <c r="H269" i="1"/>
  <c r="X269" i="1" s="1"/>
  <c r="H268" i="1"/>
  <c r="X268" i="1" s="1"/>
  <c r="H267" i="1"/>
  <c r="X267" i="1" s="1"/>
  <c r="H266" i="1"/>
  <c r="X266" i="1" s="1"/>
  <c r="H265" i="1"/>
  <c r="X265" i="1" s="1"/>
  <c r="H264" i="1"/>
  <c r="X264" i="1" s="1"/>
  <c r="H263" i="1"/>
  <c r="X263" i="1" s="1"/>
  <c r="H260" i="1"/>
  <c r="X260" i="1" s="1"/>
  <c r="H259" i="1"/>
  <c r="X259" i="1" s="1"/>
  <c r="H258" i="1"/>
  <c r="X258" i="1" s="1"/>
  <c r="H255" i="1"/>
  <c r="X255" i="1" s="1"/>
  <c r="H254" i="1"/>
  <c r="X254" i="1" s="1"/>
  <c r="H253" i="1"/>
  <c r="X253" i="1" s="1"/>
  <c r="H252" i="1"/>
  <c r="X252" i="1" s="1"/>
  <c r="H251" i="1"/>
  <c r="X251" i="1" s="1"/>
  <c r="H250" i="1"/>
  <c r="X250" i="1" s="1"/>
  <c r="H249" i="1"/>
  <c r="X249" i="1" s="1"/>
  <c r="H248" i="1"/>
  <c r="X248" i="1" s="1"/>
  <c r="H247" i="1"/>
  <c r="X247" i="1" s="1"/>
  <c r="H246" i="1"/>
  <c r="X246" i="1" s="1"/>
  <c r="H245" i="1"/>
  <c r="X245" i="1" s="1"/>
  <c r="H244" i="1"/>
  <c r="X244" i="1" s="1"/>
  <c r="H243" i="1"/>
  <c r="X243" i="1" s="1"/>
  <c r="H242" i="1"/>
  <c r="X242" i="1" s="1"/>
  <c r="H241" i="1"/>
  <c r="X241" i="1" s="1"/>
  <c r="H240" i="1"/>
  <c r="X240" i="1" s="1"/>
  <c r="H239" i="1"/>
  <c r="X239" i="1" s="1"/>
  <c r="H238" i="1"/>
  <c r="X238" i="1" s="1"/>
  <c r="H236" i="1"/>
  <c r="X236" i="1" s="1"/>
  <c r="H235" i="1"/>
  <c r="X235" i="1" s="1"/>
  <c r="H234" i="1"/>
  <c r="X234" i="1" s="1"/>
  <c r="H233" i="1"/>
  <c r="X233" i="1" s="1"/>
  <c r="H232" i="1"/>
  <c r="X232" i="1" s="1"/>
  <c r="H231" i="1"/>
  <c r="X231" i="1" s="1"/>
  <c r="H230" i="1"/>
  <c r="X230" i="1" s="1"/>
  <c r="H229" i="1"/>
  <c r="X229" i="1" s="1"/>
  <c r="H228" i="1"/>
  <c r="X228" i="1" s="1"/>
  <c r="H227" i="1"/>
  <c r="X227" i="1" s="1"/>
  <c r="H226" i="1"/>
  <c r="X226" i="1" s="1"/>
  <c r="H225" i="1"/>
  <c r="X225" i="1" s="1"/>
  <c r="H224" i="1"/>
  <c r="X224" i="1" s="1"/>
  <c r="H223" i="1"/>
  <c r="X223" i="1" s="1"/>
  <c r="H222" i="1"/>
  <c r="X222" i="1" s="1"/>
  <c r="H221" i="1"/>
  <c r="X221" i="1" s="1"/>
  <c r="H220" i="1"/>
  <c r="X220" i="1" s="1"/>
  <c r="H219" i="1"/>
  <c r="X219" i="1" s="1"/>
  <c r="H218" i="1"/>
  <c r="X218" i="1" s="1"/>
  <c r="H217" i="1"/>
  <c r="X217" i="1" s="1"/>
  <c r="H215" i="1"/>
  <c r="X215" i="1" s="1"/>
  <c r="H214" i="1"/>
  <c r="X214" i="1" s="1"/>
  <c r="H212" i="1"/>
  <c r="X212" i="1" s="1"/>
  <c r="H211" i="1"/>
  <c r="X211" i="1" s="1"/>
  <c r="H210" i="1"/>
  <c r="X210" i="1" s="1"/>
  <c r="H209" i="1"/>
  <c r="X209" i="1" s="1"/>
  <c r="H208" i="1"/>
  <c r="X208" i="1" s="1"/>
  <c r="H204" i="1"/>
  <c r="X204" i="1" s="1"/>
  <c r="H203" i="1"/>
  <c r="X203" i="1" s="1"/>
  <c r="H202" i="1"/>
  <c r="X202" i="1" s="1"/>
  <c r="H201" i="1"/>
  <c r="X201" i="1" s="1"/>
  <c r="H200" i="1"/>
  <c r="X200" i="1" s="1"/>
  <c r="H199" i="1"/>
  <c r="X199" i="1" s="1"/>
  <c r="H198" i="1"/>
  <c r="X198" i="1" s="1"/>
  <c r="H197" i="1"/>
  <c r="X197" i="1" s="1"/>
  <c r="H195" i="1"/>
  <c r="X195" i="1" s="1"/>
  <c r="H194" i="1"/>
  <c r="X194" i="1" s="1"/>
  <c r="H192" i="1"/>
  <c r="X192" i="1" s="1"/>
  <c r="H191" i="1"/>
  <c r="X191" i="1" s="1"/>
  <c r="H190" i="1"/>
  <c r="X190" i="1" s="1"/>
  <c r="H189" i="1"/>
  <c r="X189" i="1" s="1"/>
  <c r="H188" i="1"/>
  <c r="X188" i="1" s="1"/>
  <c r="H186" i="1"/>
  <c r="X186" i="1" s="1"/>
  <c r="H185" i="1"/>
  <c r="X185" i="1" s="1"/>
  <c r="H184" i="1"/>
  <c r="X184" i="1" s="1"/>
  <c r="H183" i="1"/>
  <c r="X183" i="1" s="1"/>
  <c r="H182" i="1"/>
  <c r="X182" i="1" s="1"/>
  <c r="H181" i="1"/>
  <c r="X181" i="1" s="1"/>
  <c r="H180" i="1"/>
  <c r="X180" i="1" s="1"/>
  <c r="H179" i="1"/>
  <c r="X179" i="1" s="1"/>
  <c r="H178" i="1"/>
  <c r="X178" i="1" s="1"/>
  <c r="H177" i="1"/>
  <c r="X177" i="1" s="1"/>
  <c r="H176" i="1"/>
  <c r="X176" i="1" s="1"/>
  <c r="H175" i="1"/>
  <c r="X175" i="1" s="1"/>
  <c r="H174" i="1"/>
  <c r="X174" i="1" s="1"/>
  <c r="H173" i="1"/>
  <c r="X173" i="1" s="1"/>
  <c r="H172" i="1"/>
  <c r="X172" i="1" s="1"/>
  <c r="H171" i="1"/>
  <c r="X171" i="1" s="1"/>
  <c r="H167" i="1"/>
  <c r="X167" i="1" s="1"/>
  <c r="H166" i="1"/>
  <c r="X166" i="1" s="1"/>
  <c r="H165" i="1"/>
  <c r="X165" i="1" s="1"/>
  <c r="H164" i="1"/>
  <c r="X164" i="1" s="1"/>
  <c r="H162" i="1"/>
  <c r="X162" i="1" s="1"/>
  <c r="H161" i="1"/>
  <c r="X161" i="1" s="1"/>
  <c r="H159" i="1"/>
  <c r="X159" i="1" s="1"/>
  <c r="H158" i="1"/>
  <c r="X158" i="1" s="1"/>
  <c r="H156" i="1"/>
  <c r="X156" i="1" s="1"/>
  <c r="H155" i="1"/>
  <c r="X155" i="1" s="1"/>
  <c r="H154" i="1"/>
  <c r="X154" i="1" s="1"/>
  <c r="H153" i="1"/>
  <c r="X153" i="1" s="1"/>
  <c r="H151" i="1"/>
  <c r="X151" i="1" s="1"/>
  <c r="H150" i="1"/>
  <c r="X150" i="1" s="1"/>
  <c r="H149" i="1"/>
  <c r="X149" i="1" s="1"/>
  <c r="H148" i="1"/>
  <c r="X148" i="1" s="1"/>
  <c r="H147" i="1"/>
  <c r="X147" i="1" s="1"/>
  <c r="H146" i="1"/>
  <c r="X146" i="1" s="1"/>
  <c r="H145" i="1"/>
  <c r="X145" i="1" s="1"/>
  <c r="H143" i="1"/>
  <c r="X143" i="1" s="1"/>
  <c r="H141" i="1"/>
  <c r="X141" i="1" s="1"/>
  <c r="H140" i="1"/>
  <c r="X140" i="1" s="1"/>
  <c r="H139" i="1"/>
  <c r="X139" i="1" s="1"/>
  <c r="H138" i="1"/>
  <c r="X138" i="1" s="1"/>
  <c r="H137" i="1"/>
  <c r="X137" i="1" s="1"/>
  <c r="H136" i="1"/>
  <c r="X136" i="1" s="1"/>
  <c r="H135" i="1"/>
  <c r="X135" i="1" s="1"/>
  <c r="H134" i="1"/>
  <c r="X134" i="1" s="1"/>
  <c r="H133" i="1"/>
  <c r="X133" i="1" s="1"/>
  <c r="H131" i="1"/>
  <c r="X131" i="1" s="1"/>
  <c r="H129" i="1"/>
  <c r="X129" i="1" s="1"/>
  <c r="H127" i="1"/>
  <c r="X127" i="1" s="1"/>
  <c r="H126" i="1"/>
  <c r="X126" i="1" s="1"/>
  <c r="H125" i="1"/>
  <c r="X125" i="1" s="1"/>
  <c r="H124" i="1"/>
  <c r="X124" i="1" s="1"/>
  <c r="H123" i="1"/>
  <c r="X123" i="1" s="1"/>
  <c r="H121" i="1"/>
  <c r="X121" i="1" s="1"/>
  <c r="H119" i="1"/>
  <c r="X119" i="1" s="1"/>
  <c r="H118" i="1"/>
  <c r="X118" i="1" s="1"/>
  <c r="H117" i="1"/>
  <c r="X117" i="1" s="1"/>
  <c r="H116" i="1"/>
  <c r="X116" i="1" s="1"/>
  <c r="H115" i="1"/>
  <c r="X115" i="1" s="1"/>
  <c r="H114" i="1"/>
  <c r="X114" i="1" s="1"/>
  <c r="H113" i="1"/>
  <c r="X113" i="1" s="1"/>
  <c r="H112" i="1"/>
  <c r="X112" i="1" s="1"/>
  <c r="H111" i="1"/>
  <c r="X111" i="1" s="1"/>
  <c r="H110" i="1"/>
  <c r="X110" i="1" s="1"/>
  <c r="H109" i="1"/>
  <c r="X109" i="1" s="1"/>
  <c r="H108" i="1"/>
  <c r="X108" i="1" s="1"/>
  <c r="H106" i="1"/>
  <c r="X106" i="1" s="1"/>
  <c r="H105" i="1"/>
  <c r="X105" i="1" s="1"/>
  <c r="H104" i="1"/>
  <c r="X104" i="1" s="1"/>
  <c r="H103" i="1"/>
  <c r="X103" i="1" s="1"/>
  <c r="H101" i="1"/>
  <c r="X101" i="1" s="1"/>
  <c r="H100" i="1"/>
  <c r="X100" i="1" s="1"/>
  <c r="H99" i="1"/>
  <c r="X99" i="1" s="1"/>
  <c r="H98" i="1"/>
  <c r="X98" i="1" s="1"/>
  <c r="H97" i="1"/>
  <c r="X97" i="1" s="1"/>
  <c r="H96" i="1"/>
  <c r="X96" i="1" s="1"/>
  <c r="H95" i="1"/>
  <c r="X95" i="1" s="1"/>
  <c r="H94" i="1"/>
  <c r="X94" i="1" s="1"/>
  <c r="H93" i="1"/>
  <c r="X93" i="1" s="1"/>
  <c r="H92" i="1"/>
  <c r="X92" i="1" s="1"/>
  <c r="H90" i="1"/>
  <c r="X90" i="1" s="1"/>
  <c r="H89" i="1"/>
  <c r="X89" i="1" s="1"/>
  <c r="H88" i="1"/>
  <c r="X88" i="1" s="1"/>
  <c r="H87" i="1"/>
  <c r="X87" i="1" s="1"/>
  <c r="H86" i="1"/>
  <c r="X86" i="1" s="1"/>
  <c r="H85" i="1"/>
  <c r="X85" i="1" s="1"/>
  <c r="H84" i="1"/>
  <c r="X84" i="1" s="1"/>
  <c r="H83" i="1"/>
  <c r="X83" i="1" s="1"/>
  <c r="H82" i="1"/>
  <c r="X82" i="1" s="1"/>
  <c r="H3" i="1"/>
  <c r="X3" i="1" s="1"/>
  <c r="H4" i="1"/>
  <c r="X4" i="1" s="1"/>
  <c r="H5" i="1"/>
  <c r="X5" i="1" s="1"/>
  <c r="H6" i="1"/>
  <c r="X6" i="1" s="1"/>
  <c r="H7" i="1"/>
  <c r="X7" i="1" s="1"/>
  <c r="H8" i="1"/>
  <c r="X8" i="1" s="1"/>
  <c r="H9" i="1"/>
  <c r="X9" i="1" s="1"/>
  <c r="H10" i="1"/>
  <c r="X10" i="1" s="1"/>
  <c r="H11" i="1"/>
  <c r="X11" i="1" s="1"/>
  <c r="H12" i="1"/>
  <c r="X12" i="1" s="1"/>
  <c r="H13" i="1"/>
  <c r="X13" i="1" s="1"/>
  <c r="H16" i="1"/>
  <c r="X16" i="1" s="1"/>
  <c r="H17" i="1"/>
  <c r="X17" i="1" s="1"/>
  <c r="H18" i="1"/>
  <c r="X18" i="1" s="1"/>
  <c r="H19" i="1"/>
  <c r="X19" i="1" s="1"/>
  <c r="H20" i="1"/>
  <c r="X20" i="1" s="1"/>
  <c r="H21" i="1"/>
  <c r="X21" i="1" s="1"/>
  <c r="H22" i="1"/>
  <c r="X22" i="1" s="1"/>
  <c r="H23" i="1"/>
  <c r="X23" i="1" s="1"/>
  <c r="H24" i="1"/>
  <c r="X24" i="1" s="1"/>
  <c r="H25" i="1"/>
  <c r="X25" i="1" s="1"/>
  <c r="H26" i="1"/>
  <c r="X26" i="1" s="1"/>
  <c r="H27" i="1"/>
  <c r="X27" i="1" s="1"/>
  <c r="H28" i="1"/>
  <c r="X28" i="1" s="1"/>
  <c r="H29" i="1"/>
  <c r="X29" i="1" s="1"/>
  <c r="H30" i="1"/>
  <c r="X30" i="1" s="1"/>
  <c r="H31" i="1"/>
  <c r="X31" i="1" s="1"/>
  <c r="H32" i="1"/>
  <c r="X32" i="1" s="1"/>
  <c r="H33" i="1"/>
  <c r="X33" i="1" s="1"/>
  <c r="H34" i="1"/>
  <c r="X34" i="1" s="1"/>
  <c r="H35" i="1"/>
  <c r="X35" i="1" s="1"/>
  <c r="H36" i="1"/>
  <c r="X36" i="1" s="1"/>
  <c r="H37" i="1"/>
  <c r="X37" i="1" s="1"/>
  <c r="H38" i="1"/>
  <c r="X38" i="1" s="1"/>
  <c r="H39" i="1"/>
  <c r="X39" i="1" s="1"/>
  <c r="H40" i="1"/>
  <c r="X40" i="1" s="1"/>
  <c r="H41" i="1"/>
  <c r="X41" i="1" s="1"/>
  <c r="H42" i="1"/>
  <c r="X42" i="1" s="1"/>
  <c r="H43" i="1"/>
  <c r="X43" i="1" s="1"/>
  <c r="H44" i="1"/>
  <c r="X44" i="1" s="1"/>
  <c r="H45" i="1"/>
  <c r="X45" i="1" s="1"/>
  <c r="H46" i="1"/>
  <c r="X46" i="1" s="1"/>
  <c r="H47" i="1"/>
  <c r="X47" i="1" s="1"/>
  <c r="H48" i="1"/>
  <c r="X48" i="1" s="1"/>
  <c r="H49" i="1"/>
  <c r="X49" i="1" s="1"/>
  <c r="H50" i="1"/>
  <c r="X50" i="1" s="1"/>
  <c r="H51" i="1"/>
  <c r="X51" i="1" s="1"/>
  <c r="H52" i="1"/>
  <c r="X52" i="1" s="1"/>
  <c r="H53" i="1"/>
  <c r="X53" i="1" s="1"/>
  <c r="H54" i="1"/>
  <c r="X54" i="1" s="1"/>
  <c r="H55" i="1"/>
  <c r="X55" i="1" s="1"/>
  <c r="H56" i="1"/>
  <c r="X56" i="1" s="1"/>
  <c r="H57" i="1"/>
  <c r="X57" i="1" s="1"/>
  <c r="H58" i="1"/>
  <c r="X58" i="1" s="1"/>
  <c r="H59" i="1"/>
  <c r="X59" i="1" s="1"/>
  <c r="H60" i="1"/>
  <c r="X60" i="1" s="1"/>
  <c r="H61" i="1"/>
  <c r="X61" i="1" s="1"/>
  <c r="H62" i="1"/>
  <c r="X62" i="1" s="1"/>
  <c r="H63" i="1"/>
  <c r="X63" i="1" s="1"/>
  <c r="H65" i="1"/>
  <c r="X65" i="1" s="1"/>
  <c r="H66" i="1"/>
  <c r="X66" i="1" s="1"/>
  <c r="H67" i="1"/>
  <c r="X67" i="1" s="1"/>
  <c r="H68" i="1"/>
  <c r="X68" i="1" s="1"/>
  <c r="H69" i="1"/>
  <c r="X69" i="1" s="1"/>
  <c r="H70" i="1"/>
  <c r="X70" i="1" s="1"/>
  <c r="H71" i="1"/>
  <c r="X71" i="1" s="1"/>
  <c r="H72" i="1"/>
  <c r="X72" i="1" s="1"/>
  <c r="H73" i="1"/>
  <c r="X73" i="1" s="1"/>
  <c r="H74" i="1"/>
  <c r="X74" i="1" s="1"/>
  <c r="H75" i="1"/>
  <c r="X75" i="1" s="1"/>
  <c r="H76" i="1"/>
  <c r="X76" i="1" s="1"/>
  <c r="H77" i="1"/>
  <c r="X77" i="1" s="1"/>
  <c r="H78" i="1"/>
  <c r="X78" i="1" s="1"/>
  <c r="H79" i="1"/>
  <c r="X79" i="1" s="1"/>
  <c r="H80" i="1"/>
  <c r="X80" i="1" s="1"/>
  <c r="H81" i="1"/>
  <c r="X81" i="1" s="1"/>
  <c r="H2" i="1"/>
  <c r="X2" i="1" s="1"/>
</calcChain>
</file>

<file path=xl/sharedStrings.xml><?xml version="1.0" encoding="utf-8"?>
<sst xmlns="http://schemas.openxmlformats.org/spreadsheetml/2006/main" count="1070" uniqueCount="1060">
  <si>
    <t>MÃ HỒ SƠ</t>
  </si>
  <si>
    <t>HỌ TÊN</t>
  </si>
  <si>
    <t>GIỚI</t>
  </si>
  <si>
    <t>NĂM SINH</t>
  </si>
  <si>
    <t>GMN</t>
  </si>
  <si>
    <t>BMI</t>
  </si>
  <si>
    <t>ĐTĐ2</t>
  </si>
  <si>
    <t>THA</t>
  </si>
  <si>
    <t>GLUCOSE &gt;100 MG/DL</t>
  </si>
  <si>
    <t>TRIGLYCERIDE &gt;=150.5MG/DL</t>
  </si>
  <si>
    <t>HBA1C &gt;= 5.7%</t>
  </si>
  <si>
    <t>THUỐC LIPID</t>
  </si>
  <si>
    <t>VÒNG EO &gt;=90 M, 80 F</t>
  </si>
  <si>
    <t>HDL &lt;=40 M, 50 F</t>
  </si>
  <si>
    <t>GGT</t>
  </si>
  <si>
    <t>CAP</t>
  </si>
  <si>
    <t>A10-0229827</t>
  </si>
  <si>
    <t>B11-0022618</t>
  </si>
  <si>
    <t>LẠI THỊ THÙY DUNG</t>
  </si>
  <si>
    <t>CÂN KG</t>
  </si>
  <si>
    <t>CAO CM</t>
  </si>
  <si>
    <t>B07-0068361</t>
  </si>
  <si>
    <t>A06-0143306</t>
  </si>
  <si>
    <t>HỒ HUY SƯƠNG</t>
  </si>
  <si>
    <t>LÊ DUY SƠN</t>
  </si>
  <si>
    <t>HA&gt;=130/85</t>
  </si>
  <si>
    <t>N23-0357116</t>
  </si>
  <si>
    <t>HUỲNH THỊ TUYẾT MAI</t>
  </si>
  <si>
    <t>A11-0290093</t>
  </si>
  <si>
    <t>TRẦN THỊ PHƯƠNG LOAN</t>
  </si>
  <si>
    <t>B24-0005315</t>
  </si>
  <si>
    <t>NGUYỄN XUÂN BÌNH</t>
  </si>
  <si>
    <t>B11-0023340</t>
  </si>
  <si>
    <t>NGUYỄN HOÀNG THÙY LINH</t>
  </si>
  <si>
    <t>B26-0001777</t>
  </si>
  <si>
    <t>QUÁCH THỊ LIÊN</t>
  </si>
  <si>
    <t>B19-0009220</t>
  </si>
  <si>
    <t>LÊ THỊ BÍCH TUYỀN</t>
  </si>
  <si>
    <t>B22-0000667</t>
  </si>
  <si>
    <t>LƯU TRỌNG SỸ</t>
  </si>
  <si>
    <t>A12-0205951</t>
  </si>
  <si>
    <t>NGUYỄN HOÀNG KHÁNH</t>
  </si>
  <si>
    <t>N18-0170475</t>
  </si>
  <si>
    <t>NGUYỄN CAO THẬP</t>
  </si>
  <si>
    <t>B23-0005585</t>
  </si>
  <si>
    <t>N15-0145079</t>
  </si>
  <si>
    <t>NGUYỄN ANH THƯƠNG</t>
  </si>
  <si>
    <t>NGUYỄN THỊ CẨM QUYÊN</t>
  </si>
  <si>
    <t>B23-0005574</t>
  </si>
  <si>
    <t>LÊ TRUNG HIẾU</t>
  </si>
  <si>
    <t>B14-0013763</t>
  </si>
  <si>
    <t>LÊ NGỌC THỨC</t>
  </si>
  <si>
    <t>A12-0266153</t>
  </si>
  <si>
    <t>TRẦN NGỌC PHƯƠNG THẢO</t>
  </si>
  <si>
    <t>B24-0005498</t>
  </si>
  <si>
    <t>PHẠM QUỐC PHÒNG</t>
  </si>
  <si>
    <t>PHÙNG LÊ QUỐC TRUNG</t>
  </si>
  <si>
    <t>B22-0002301</t>
  </si>
  <si>
    <t>HUỲNH LỄ TRƯỜNG</t>
  </si>
  <si>
    <t>A13-0101493</t>
  </si>
  <si>
    <t>B16-0005941</t>
  </si>
  <si>
    <t>NGUYỄN THANH TÙNG</t>
  </si>
  <si>
    <t>B22-0002243</t>
  </si>
  <si>
    <t>LÊ HOÀNG DUY</t>
  </si>
  <si>
    <t>N13-0002688</t>
  </si>
  <si>
    <t>NGUYỄN ĐỨC CẢNH</t>
  </si>
  <si>
    <t>B14-0000351</t>
  </si>
  <si>
    <t>BÙI VĂN HẢI</t>
  </si>
  <si>
    <t>B18-0011370</t>
  </si>
  <si>
    <t>HOÀNG THỊ HUYỀN ANH</t>
  </si>
  <si>
    <t>B26-0001576</t>
  </si>
  <si>
    <t>TRẦN ANH KHANG</t>
  </si>
  <si>
    <t>B11-0004515</t>
  </si>
  <si>
    <t>LÊ HOÀI NAM</t>
  </si>
  <si>
    <t>N13-0002722</t>
  </si>
  <si>
    <t>NGUYỄN MINH PHÚC</t>
  </si>
  <si>
    <t>B26-0001499</t>
  </si>
  <si>
    <t>BÙI ANH ĐỨC</t>
  </si>
  <si>
    <t>B21-0002222</t>
  </si>
  <si>
    <t>TRẦN VINH QUANG</t>
  </si>
  <si>
    <t>B25-0001933</t>
  </si>
  <si>
    <t>NGUYỄN VIỆT DŨNG</t>
  </si>
  <si>
    <t>B22-0002256</t>
  </si>
  <si>
    <t>TRẦN LONG HUY</t>
  </si>
  <si>
    <t>B24-0005471</t>
  </si>
  <si>
    <t>VŨ HOÀNG NGHĨA</t>
  </si>
  <si>
    <t>B24-0005823</t>
  </si>
  <si>
    <t>BÙI ĐỨC THẮNG</t>
  </si>
  <si>
    <t>N19-0203855</t>
  </si>
  <si>
    <t>B25-0003392</t>
  </si>
  <si>
    <t>CAO VĂN HIẾU</t>
  </si>
  <si>
    <t>B24-0005408</t>
  </si>
  <si>
    <t>KHƯU MINH HƯNG</t>
  </si>
  <si>
    <t>B24-0005688</t>
  </si>
  <si>
    <t>TRẦN NGỌC THANH THÚY</t>
  </si>
  <si>
    <t>A03-0028158</t>
  </si>
  <si>
    <t>B26-0001579</t>
  </si>
  <si>
    <t>VŨ HÙNG HẢI</t>
  </si>
  <si>
    <t>NGUYỄN XUÂN KIỆT</t>
  </si>
  <si>
    <t>B24-0005308</t>
  </si>
  <si>
    <t>NGUYỄN HẢI BẰNG</t>
  </si>
  <si>
    <t>NGUYỄN THỊ HOA QUẾ</t>
  </si>
  <si>
    <t>N18-0408908</t>
  </si>
  <si>
    <t>N15-0045712</t>
  </si>
  <si>
    <t>TRƯƠNG CẢNH TOÀN</t>
  </si>
  <si>
    <t>N26-0106775</t>
  </si>
  <si>
    <t>PHẠM ĐĂNG KHOA</t>
  </si>
  <si>
    <t>N14-0086969</t>
  </si>
  <si>
    <t>B18-0006184</t>
  </si>
  <si>
    <t>LÊ VIỆT THẮNG</t>
  </si>
  <si>
    <t>TRẦN THỊ THƯƠNG HÀ</t>
  </si>
  <si>
    <t>B24-0003142</t>
  </si>
  <si>
    <t>CAO XUÂN NGHIÊM</t>
  </si>
  <si>
    <t>B24-0003132</t>
  </si>
  <si>
    <t>NGUYỄN ĐĂNG XUÂN BÁCH</t>
  </si>
  <si>
    <t>B24-0003136</t>
  </si>
  <si>
    <t>PHẠM PHÁT ĐẠT</t>
  </si>
  <si>
    <t>B20-0002466</t>
  </si>
  <si>
    <t>NGUYỄN HOÀNG ANH</t>
  </si>
  <si>
    <t>B24-0005346</t>
  </si>
  <si>
    <t>TRẦN THÙY DUNG</t>
  </si>
  <si>
    <t>N26-0107369</t>
  </si>
  <si>
    <t>LÂM VĂN TIỆP</t>
  </si>
  <si>
    <t>B24-0005514</t>
  </si>
  <si>
    <t>BÙI XUÂN QUANG</t>
  </si>
  <si>
    <t>B24-0005602</t>
  </si>
  <si>
    <t>BÙI HẢI VĂN</t>
  </si>
  <si>
    <t>B24-0005440</t>
  </si>
  <si>
    <t>VŨ XUÂN LÂM</t>
  </si>
  <si>
    <t>B24-0005459</t>
  </si>
  <si>
    <t>NGUYỄN HOÀNG MINH</t>
  </si>
  <si>
    <t>B24-0005451</t>
  </si>
  <si>
    <t>NGUYỄN HỒ XUÂN LỘC</t>
  </si>
  <si>
    <t>N15-0169098</t>
  </si>
  <si>
    <t>B24-0005414</t>
  </si>
  <si>
    <t>VŨ QUANG HUY</t>
  </si>
  <si>
    <t>PHAN VĂN HƯỞNG</t>
  </si>
  <si>
    <t>B26-0002004</t>
  </si>
  <si>
    <t>NGUYỄN NGỌC TRÂN</t>
  </si>
  <si>
    <t>N16-0006095</t>
  </si>
  <si>
    <t>TRẦN XUÂN THẮNG</t>
  </si>
  <si>
    <t>B26-0002057</t>
  </si>
  <si>
    <t>DƯ THỊ THU TRANG</t>
  </si>
  <si>
    <t>B25-0001077</t>
  </si>
  <si>
    <t>DƯ HỮU VINH</t>
  </si>
  <si>
    <t>N14-0257800</t>
  </si>
  <si>
    <t>PHẠM QUỐC TUẤN</t>
  </si>
  <si>
    <t>N16-0202894</t>
  </si>
  <si>
    <t>NGUYỄN ĐÌNH THÁI</t>
  </si>
  <si>
    <t>B26-0002020</t>
  </si>
  <si>
    <t>NGUYỄN VĂN CHIẾN</t>
  </si>
  <si>
    <t>B25-0008065</t>
  </si>
  <si>
    <t>NGUYỄN VĂN TIẾN</t>
  </si>
  <si>
    <t>B25-0007086</t>
  </si>
  <si>
    <t>B25-0006910</t>
  </si>
  <si>
    <t>PHẠM ĐỨC DŨNG</t>
  </si>
  <si>
    <t>ĐINH THANH ĐÔNG</t>
  </si>
  <si>
    <t>B26-0001987</t>
  </si>
  <si>
    <t>NGUYỄN THỊ THANH DUNG</t>
  </si>
  <si>
    <t>B26-0001985</t>
  </si>
  <si>
    <t>NGUYỄN MINH CHÂU</t>
  </si>
  <si>
    <t>B25-0006543</t>
  </si>
  <si>
    <t>ĐỒNG QUANG SANG</t>
  </si>
  <si>
    <t>B25-0000895</t>
  </si>
  <si>
    <t>NGUYỄN HOÀNG ANH QUỐC</t>
  </si>
  <si>
    <t>B25-0000537</t>
  </si>
  <si>
    <t>NGUYỄN TRỌNG NHÂN</t>
  </si>
  <si>
    <t>B16-0006589</t>
  </si>
  <si>
    <t>NGUYỄN XUÂN THÀNH</t>
  </si>
  <si>
    <t>B22-0006750</t>
  </si>
  <si>
    <t>ĐẶNG VĂN THƯNG</t>
  </si>
  <si>
    <t>B26-0002039</t>
  </si>
  <si>
    <t>PHẠM QUANG HIẾU</t>
  </si>
  <si>
    <t>B26-0002052</t>
  </si>
  <si>
    <t>NGUYỄN HỮU THÁI HÒA</t>
  </si>
  <si>
    <t>B24-0001844</t>
  </si>
  <si>
    <t>PHẠM VĂN ANH</t>
  </si>
  <si>
    <t>B19-0003549</t>
  </si>
  <si>
    <t>TRẦN THỊ PHƯƠNG THẢO</t>
  </si>
  <si>
    <t>B20-0009762</t>
  </si>
  <si>
    <t>VÕ ĐÌNH ĐỨC</t>
  </si>
  <si>
    <t>A12-0147526</t>
  </si>
  <si>
    <t>NGUYỄN VIỆT HÙNG</t>
  </si>
  <si>
    <t>A12-0197618</t>
  </si>
  <si>
    <t>LÊ PHƯƠNG LONG</t>
  </si>
  <si>
    <t>B19-0003548</t>
  </si>
  <si>
    <t>NGUYỄN VĂN THÂN</t>
  </si>
  <si>
    <t>N23-0191745</t>
  </si>
  <si>
    <t>LÊ XUÂN PHÁT</t>
  </si>
  <si>
    <t>B16-0006549</t>
  </si>
  <si>
    <t>THÁI VĂN HẾT</t>
  </si>
  <si>
    <t>B26-0001846</t>
  </si>
  <si>
    <t>THẠCH ĐẶNG KENBOY</t>
  </si>
  <si>
    <t>N18-0159764</t>
  </si>
  <si>
    <t>BÙI ĐỨC HOÀNG</t>
  </si>
  <si>
    <t>A12-0194271</t>
  </si>
  <si>
    <t>PHẠM NGUYỄN MINH PHƯƠNG</t>
  </si>
  <si>
    <t>B11-0009398</t>
  </si>
  <si>
    <t>NGUYỄN THỊ MINH TRANG</t>
  </si>
  <si>
    <t>B17-0001531</t>
  </si>
  <si>
    <t>TRẦN THỊ NA</t>
  </si>
  <si>
    <t>B16-0006574</t>
  </si>
  <si>
    <t>VÕ THỊ NHƯ NGỌC</t>
  </si>
  <si>
    <t>N16-0137998</t>
  </si>
  <si>
    <t>LƯƠNG TRUNG NAM</t>
  </si>
  <si>
    <t>B24-0003280</t>
  </si>
  <si>
    <t>NGUYỄN HỮU ĐẠI</t>
  </si>
  <si>
    <t>N13-0023308</t>
  </si>
  <si>
    <t>NGUYỄN ĐÀO ANH TÚ</t>
  </si>
  <si>
    <t>B24-0003281</t>
  </si>
  <si>
    <t>LÊ MINH HẢI</t>
  </si>
  <si>
    <t>B15-0012404</t>
  </si>
  <si>
    <t>PHAN HOÀI NAM</t>
  </si>
  <si>
    <t>B15-0012628</t>
  </si>
  <si>
    <t>LÊ NGUYỄN HOÀNG SANG</t>
  </si>
  <si>
    <t>B25-0002595</t>
  </si>
  <si>
    <t>NGUYỄN NHO PHONG VŨ</t>
  </si>
  <si>
    <t>B21-0002024</t>
  </si>
  <si>
    <t>LÊ THỊ KIỀU HOANH</t>
  </si>
  <si>
    <t>N18-0159751</t>
  </si>
  <si>
    <t>NGUYỄN HỒNG DỢN</t>
  </si>
  <si>
    <t>A06-0018110</t>
  </si>
  <si>
    <t>ĐÀO TRỌNG HIẾU</t>
  </si>
  <si>
    <t>A12-0147674</t>
  </si>
  <si>
    <t>NGUYỄN HỮU NGHỊ</t>
  </si>
  <si>
    <t>A12-0147871</t>
  </si>
  <si>
    <t>TRẦN ĐỨC TOÀN</t>
  </si>
  <si>
    <t>B15-0010911</t>
  </si>
  <si>
    <t>HUỲNH THỊ ANH THƯ</t>
  </si>
  <si>
    <t>A12-0147869</t>
  </si>
  <si>
    <t>NGUYỄN VĂN TÌNH</t>
  </si>
  <si>
    <t>A13-0109206</t>
  </si>
  <si>
    <t>PHẠM HỒNG THÁI</t>
  </si>
  <si>
    <t>B18-0004240</t>
  </si>
  <si>
    <t>LÊ PHƯƠNG LOAN</t>
  </si>
  <si>
    <t>A12-0147507</t>
  </si>
  <si>
    <t>LÝ KHÁNH HÒA</t>
  </si>
  <si>
    <t>B26-0001928</t>
  </si>
  <si>
    <t>NGUYỄN LÊ THU HIỀN</t>
  </si>
  <si>
    <t>A12-0147993</t>
  </si>
  <si>
    <t>LÝ THỊ THU HIỀN</t>
  </si>
  <si>
    <t>B15-0010867</t>
  </si>
  <si>
    <t>ĐỒNG THỊ TUYẾT NGA</t>
  </si>
  <si>
    <t>B25-0002059</t>
  </si>
  <si>
    <t>PHẠM TUẤN MINH</t>
  </si>
  <si>
    <t>B26-0002204</t>
  </si>
  <si>
    <t>NGÔ THỊ NGỌC HƯƠNG</t>
  </si>
  <si>
    <t>B25-0003018</t>
  </si>
  <si>
    <t>TRẦN ĐẶNG QUỐC</t>
  </si>
  <si>
    <t>B25-0003148</t>
  </si>
  <si>
    <t>HOÀNG THỊ LAN ANH</t>
  </si>
  <si>
    <t>B25-0002093</t>
  </si>
  <si>
    <t>PHAN NGỌC TÙNG</t>
  </si>
  <si>
    <t>B25-0003224</t>
  </si>
  <si>
    <t>NGUYỄN THỊ NHƯ QUÝ</t>
  </si>
  <si>
    <t>B19-0012483</t>
  </si>
  <si>
    <t>NGUYỄN VĂN TUẤN</t>
  </si>
  <si>
    <t>B25-0002079</t>
  </si>
  <si>
    <t>NGUYỄN TRƯỜNG THỊNH</t>
  </si>
  <si>
    <t>B19-0013963</t>
  </si>
  <si>
    <t>HOÀNG THỊ PHƯƠNG THẢO</t>
  </si>
  <si>
    <t>B26-0001965</t>
  </si>
  <si>
    <t>PHẠM HOÀNG MINH</t>
  </si>
  <si>
    <t>B25-0003201</t>
  </si>
  <si>
    <t>LÊ MINH KỲ</t>
  </si>
  <si>
    <t>A13-0018586</t>
  </si>
  <si>
    <t>MAI HỮU QUÝ</t>
  </si>
  <si>
    <t>A09-0109491</t>
  </si>
  <si>
    <t>NGUYỄN HỮU MINH TÂN</t>
  </si>
  <si>
    <t>B25-0001607</t>
  </si>
  <si>
    <t>MAI VĂN ÁI</t>
  </si>
  <si>
    <t>N15-0206911</t>
  </si>
  <si>
    <t>NGUYỄN THỊ HOÀNG THẢO</t>
  </si>
  <si>
    <t>B22-0001083</t>
  </si>
  <si>
    <t>NGUYỄN THANH LOAN</t>
  </si>
  <si>
    <t>B22-0001064</t>
  </si>
  <si>
    <t>VÕ MINH KHOA</t>
  </si>
  <si>
    <t>B22-0001071</t>
  </si>
  <si>
    <t>TRẦN TUYẾT LAN</t>
  </si>
  <si>
    <t>B25-0003219</t>
  </si>
  <si>
    <t>LÊ THỊ DIỄM PHÚC</t>
  </si>
  <si>
    <t>B25-0003230</t>
  </si>
  <si>
    <t>LÊ THỊ TUYẾT THANH</t>
  </si>
  <si>
    <t>B25-0003249</t>
  </si>
  <si>
    <t>NGUYỄN THỊ XUÂN</t>
  </si>
  <si>
    <t>N18-0226977</t>
  </si>
  <si>
    <t>DƯƠNG THỊ THANH NHI</t>
  </si>
  <si>
    <t>B26-0002036</t>
  </si>
  <si>
    <t>BÙI MỸ DUNG</t>
  </si>
  <si>
    <t>B26-0002035</t>
  </si>
  <si>
    <t>LÊ CÔNG ĐIỆP</t>
  </si>
  <si>
    <t>A12-0194208</t>
  </si>
  <si>
    <t>LÊ TRỌNG THU HẠNH</t>
  </si>
  <si>
    <t>B25-0003212</t>
  </si>
  <si>
    <t>TRẦN THỊ MỚI</t>
  </si>
  <si>
    <t>B26-0002051</t>
  </si>
  <si>
    <t>LỤC VĂN CỐNG</t>
  </si>
  <si>
    <t>N16-0051645</t>
  </si>
  <si>
    <t>NGUYỄN THÚY HUYÊN</t>
  </si>
  <si>
    <t>B25-0003206</t>
  </si>
  <si>
    <t>VÕ PHƯƠNG LINH</t>
  </si>
  <si>
    <t>B25-0003241</t>
  </si>
  <si>
    <t>B25-0003245</t>
  </si>
  <si>
    <t>NGUYỄN HUY TỐ</t>
  </si>
  <si>
    <t>N18-0104284</t>
  </si>
  <si>
    <t>NGUYỄN HỒNG PHƯỢNG</t>
  </si>
  <si>
    <t>B17-0007227</t>
  </si>
  <si>
    <t>TRƯƠNG HOÀNG GIANG</t>
  </si>
  <si>
    <t>B10-0067694</t>
  </si>
  <si>
    <t>NGUYỄN THI MAI LƯƠNG</t>
  </si>
  <si>
    <t>B26-0002397</t>
  </si>
  <si>
    <t>LÊ QUỐC THỊNH</t>
  </si>
  <si>
    <t>A11-0269660</t>
  </si>
  <si>
    <t>CHÂU HẢI BẰNG</t>
  </si>
  <si>
    <t>A11-0246284</t>
  </si>
  <si>
    <t>PHẠM THỊ NGỌC PHƯƠNG</t>
  </si>
  <si>
    <t>B07-0037326</t>
  </si>
  <si>
    <t>LÊ THỊ KIM TRANH</t>
  </si>
  <si>
    <t>B24-0001779</t>
  </si>
  <si>
    <t>NGUYỄN VŨ THÀNH</t>
  </si>
  <si>
    <t>B23-0001823</t>
  </si>
  <si>
    <t>HỒNG PHÚC MINH XUÂN</t>
  </si>
  <si>
    <t>B15-0010758</t>
  </si>
  <si>
    <t>TRẦN VĂN HƯNG</t>
  </si>
  <si>
    <t>B26-0002063</t>
  </si>
  <si>
    <t>NGUYỄN THÚY ĐẠT</t>
  </si>
  <si>
    <t>B25-0001349</t>
  </si>
  <si>
    <t>NGUYỄN TUẤN BẢO</t>
  </si>
  <si>
    <t>B25-0006876</t>
  </si>
  <si>
    <t>NGUYỄN TUẤN ANH</t>
  </si>
  <si>
    <t>B22-0008049</t>
  </si>
  <si>
    <t>NGUYỄN HỮU PHƯỚC</t>
  </si>
  <si>
    <t>A07-0064930</t>
  </si>
  <si>
    <t>DƯƠNG KIM ANH</t>
  </si>
  <si>
    <t>B25-0006501</t>
  </si>
  <si>
    <t>TÔN LƯƠNG HÒA</t>
  </si>
  <si>
    <t>B11-0015291</t>
  </si>
  <si>
    <t>PHẠM THỊ VẺ</t>
  </si>
  <si>
    <t>B26-0001812</t>
  </si>
  <si>
    <t>NGUYỄN THỊ HOÀNG</t>
  </si>
  <si>
    <t>A12-0089536</t>
  </si>
  <si>
    <t>NGUYỄN THỊ KIM ANH</t>
  </si>
  <si>
    <t>B26-0002032</t>
  </si>
  <si>
    <t>NGUYỄN THANH BÌNH</t>
  </si>
  <si>
    <t>B25-0007146</t>
  </si>
  <si>
    <t>NGUYỄN ĐỨC NGÔ SƠN</t>
  </si>
  <si>
    <t>B25-0002143</t>
  </si>
  <si>
    <t>NGUYỄN VĂN DU</t>
  </si>
  <si>
    <t>B06-0016626</t>
  </si>
  <si>
    <t>NGUYỄN THỊ THÚY DUYÊN</t>
  </si>
  <si>
    <t>B22-0001134</t>
  </si>
  <si>
    <t>LÝ THỊ MINH THƯƠNG</t>
  </si>
  <si>
    <t>B18-0017914</t>
  </si>
  <si>
    <t>NGUYỄN THỊ XUÂN HƯƠNG</t>
  </si>
  <si>
    <t>B18-0017888</t>
  </si>
  <si>
    <t>VŨ NGỌC ĐIỆP</t>
  </si>
  <si>
    <t>B22-0000966</t>
  </si>
  <si>
    <t>ÂU KIẾN NGHI</t>
  </si>
  <si>
    <t>A08-0118979</t>
  </si>
  <si>
    <t>HUỲNH HIẾU NGÂN</t>
  </si>
  <si>
    <t>B26-0002358</t>
  </si>
  <si>
    <t>TRẦN VƯƠNG THÁI HIẾU</t>
  </si>
  <si>
    <t>B24-0004262</t>
  </si>
  <si>
    <t>PHAN TUẤN CƯỜNG</t>
  </si>
  <si>
    <t>B15-0021124</t>
  </si>
  <si>
    <t>NGUYỄN THÀNH LUÂN</t>
  </si>
  <si>
    <t>N16-0165058</t>
  </si>
  <si>
    <t>NGUYỄN SƠN HẢI</t>
  </si>
  <si>
    <t>B24-0003320</t>
  </si>
  <si>
    <t>LÊ THỊ THÚY HẰNG</t>
  </si>
  <si>
    <t>B22-0007001</t>
  </si>
  <si>
    <t>TRẦN QUỐC TOẢN</t>
  </si>
  <si>
    <t>B23-0006388</t>
  </si>
  <si>
    <t>NGÔ HOÀNG GIANG</t>
  </si>
  <si>
    <t>B14-0019161</t>
  </si>
  <si>
    <t>NGUYỄN VĂN SÁNG</t>
  </si>
  <si>
    <t>B17-0014766</t>
  </si>
  <si>
    <t>THÁI TRUYỀN ĐẠI CHẤN</t>
  </si>
  <si>
    <t>B26-0002367</t>
  </si>
  <si>
    <t>PHẠM TRẦN THIÊN NHÂN</t>
  </si>
  <si>
    <t>B26-0002366</t>
  </si>
  <si>
    <t>TRẦN NGUYỄN TRÍ NGUYỄN</t>
  </si>
  <si>
    <t>B17-0015251</t>
  </si>
  <si>
    <t>VO HIEN BICH</t>
  </si>
  <si>
    <t>A07-0116863</t>
  </si>
  <si>
    <t>DƯƠNG HIẾU LINH</t>
  </si>
  <si>
    <t>B22-0001159</t>
  </si>
  <si>
    <t>VŨ ĐỨC TRƯỜNG</t>
  </si>
  <si>
    <t>B22-0009999</t>
  </si>
  <si>
    <t>NGUYỄN BỬU TRUNG</t>
  </si>
  <si>
    <t>B26-0001962</t>
  </si>
  <si>
    <t>TRƯƠNG XUÂN HOÀNG</t>
  </si>
  <si>
    <t>B19-0012419</t>
  </si>
  <si>
    <t>TRẦN VĂN LỰC</t>
  </si>
  <si>
    <t>B19-0012387</t>
  </si>
  <si>
    <t>HOÀNG HUY GIẢNG</t>
  </si>
  <si>
    <t>B24-0001855</t>
  </si>
  <si>
    <t>LÊ HOÀNG HIỆP</t>
  </si>
  <si>
    <t>A11-0264173</t>
  </si>
  <si>
    <t>NGUYỄN HỮU KHÁNH</t>
  </si>
  <si>
    <t>B22-0003465</t>
  </si>
  <si>
    <t>HUỲNH THỊ NGỌC HUYỀN</t>
  </si>
  <si>
    <t>B22-0003511</t>
  </si>
  <si>
    <t>ĐƯỜNG HẠT HUY SƠN</t>
  </si>
  <si>
    <t>B15-0021108</t>
  </si>
  <si>
    <t>NGUYỄN MINH HÙNG</t>
  </si>
  <si>
    <t>A12-0279604</t>
  </si>
  <si>
    <t>HUỲNH THỊ OANH</t>
  </si>
  <si>
    <t>B23-0006408</t>
  </si>
  <si>
    <t>NGUYỄN MINH PHƯỚC</t>
  </si>
  <si>
    <t>N19-0240171</t>
  </si>
  <si>
    <t>VŨ VĂN HOÀN</t>
  </si>
  <si>
    <t>B26-0001964</t>
  </si>
  <si>
    <t>PHẠM VĂN LƯU</t>
  </si>
  <si>
    <t>B26-0001956</t>
  </si>
  <si>
    <t>NGUYỄN VĂN BẢO</t>
  </si>
  <si>
    <t>B19-0012389</t>
  </si>
  <si>
    <t>NGUYỄN TRỌNG HẢI</t>
  </si>
  <si>
    <t>B18-0014287</t>
  </si>
  <si>
    <t>TRẦN THỊ NGỌC TRÂN</t>
  </si>
  <si>
    <t>N22-0390797</t>
  </si>
  <si>
    <t>HOÀNG THỊ LAN</t>
  </si>
  <si>
    <t>B22-0010886</t>
  </si>
  <si>
    <t>PHẠM THỊ THU THỦY</t>
  </si>
  <si>
    <t>N15-0235078</t>
  </si>
  <si>
    <t>NGUYỄN TẤN DUY</t>
  </si>
  <si>
    <t>B23-0005909</t>
  </si>
  <si>
    <t>NGUYỄN BÁ ĐỊNH</t>
  </si>
  <si>
    <t>B25-0003279</t>
  </si>
  <si>
    <t>TRẦN MINH LUÂN</t>
  </si>
  <si>
    <t>A06-0106359</t>
  </si>
  <si>
    <t>NGUYỄN THỊ ANH THƯ</t>
  </si>
  <si>
    <t>A11-0269772</t>
  </si>
  <si>
    <t>NGUYỄN THỊ NGỌC TRINH</t>
  </si>
  <si>
    <t>A12-0163497</t>
  </si>
  <si>
    <t>BÙI NGỌC QUỐC DUY</t>
  </si>
  <si>
    <t>N19-0150253</t>
  </si>
  <si>
    <t>NGÔ NGỌC HẠNH</t>
  </si>
  <si>
    <t>B16-0000630</t>
  </si>
  <si>
    <t>BÀNH QUANG VIỆT</t>
  </si>
  <si>
    <t>A11-0269770</t>
  </si>
  <si>
    <t>NGUYỄN THỊ PHƯƠNG TRANG</t>
  </si>
  <si>
    <t>A07-0156873</t>
  </si>
  <si>
    <t>TRẦN THỊ NGỌC DIỄM</t>
  </si>
  <si>
    <t>A11-0269745</t>
  </si>
  <si>
    <t>NGUYỄN QUANG THẮNG</t>
  </si>
  <si>
    <t>A07-0108040</t>
  </si>
  <si>
    <t>TĂNG DUY SUM</t>
  </si>
  <si>
    <t>B23-0006429</t>
  </si>
  <si>
    <t>HUỲNH THANH HẰNG</t>
  </si>
  <si>
    <t>B26-0002649</t>
  </si>
  <si>
    <t>BÙI NGỌC PHƯỢNG</t>
  </si>
  <si>
    <t>B07-0037069</t>
  </si>
  <si>
    <t>TRƯƠNG VƯƠNG DUY THÔNG</t>
  </si>
  <si>
    <t>B25-0004747</t>
  </si>
  <si>
    <t>NGUYỄN THỊ KIM KHOA</t>
  </si>
  <si>
    <t>A11-0269802</t>
  </si>
  <si>
    <t>NGUYỄN THỊ HỒNG THỦY</t>
  </si>
  <si>
    <t>A11-0269791</t>
  </si>
  <si>
    <t>NGUYỄN NGỌC KHUYÊN</t>
  </si>
  <si>
    <t>N16-0392767</t>
  </si>
  <si>
    <t>PHAN THỊ THƯ</t>
  </si>
  <si>
    <t>B26-0002461</t>
  </si>
  <si>
    <t>BÙI QUANG TRIỆU</t>
  </si>
  <si>
    <t>B25-0001854</t>
  </si>
  <si>
    <t>TRẦN MINH NHÂN</t>
  </si>
  <si>
    <t>B08-0055789</t>
  </si>
  <si>
    <t>NGUYỄN XUÂN HOAN</t>
  </si>
  <si>
    <t>B25-0008891</t>
  </si>
  <si>
    <t>NGUYỄN DUY KHANG</t>
  </si>
  <si>
    <t>A11-0269674</t>
  </si>
  <si>
    <t>NGUYỄN NGỌC DIỄM</t>
  </si>
  <si>
    <t>A07-0107436</t>
  </si>
  <si>
    <t>ĐẶNG THỊ NGỌC HOA</t>
  </si>
  <si>
    <t>A11-0003434</t>
  </si>
  <si>
    <t>PHAN QUỐC THÁI</t>
  </si>
  <si>
    <t>N16-0267811</t>
  </si>
  <si>
    <t>NGUYỄN THỊ THOA</t>
  </si>
  <si>
    <t>A11-0269747</t>
  </si>
  <si>
    <t>NGUYỄN MINH THÀNH</t>
  </si>
  <si>
    <t>B26-0002646</t>
  </si>
  <si>
    <t>NGUYỄN VĂN ĐÔNG</t>
  </si>
  <si>
    <t>B16-0000621</t>
  </si>
  <si>
    <t>NGÔ NGỌC TUÂN</t>
  </si>
  <si>
    <t>B16-0000523</t>
  </si>
  <si>
    <t>NGUYỄN XUÂN HÒA</t>
  </si>
  <si>
    <t>B26-0002481</t>
  </si>
  <si>
    <t>NGUYỄN THỊ MỸ DUYÊN</t>
  </si>
  <si>
    <t>B26-0002475</t>
  </si>
  <si>
    <t>NGUYỄN MINH LỘC</t>
  </si>
  <si>
    <t>B16-0000560</t>
  </si>
  <si>
    <t>NGUYỄN TRỌNG NGHĨA</t>
  </si>
  <si>
    <t>B26-0002473</t>
  </si>
  <si>
    <t>LƯU QUỐC ĐẠI</t>
  </si>
  <si>
    <t>N22-0062050</t>
  </si>
  <si>
    <t>LÊ NHƯ LONG</t>
  </si>
  <si>
    <t>B16-0017726</t>
  </si>
  <si>
    <t>PHẠM TRẦN VŨ HOÀNG</t>
  </si>
  <si>
    <t>N21-0095481</t>
  </si>
  <si>
    <t>LÊ TẤN DUY</t>
  </si>
  <si>
    <t>B24-0005117</t>
  </si>
  <si>
    <t>NGUYỄN QUANG TÂM</t>
  </si>
  <si>
    <t>B26-0002540</t>
  </si>
  <si>
    <t>TRƯƠNG NỮ TƯỜNG VI</t>
  </si>
  <si>
    <t>B26-0002471</t>
  </si>
  <si>
    <t>TRƯƠNG CÔNG ANH</t>
  </si>
  <si>
    <t>B24-0005112</t>
  </si>
  <si>
    <t>PHAN QUANG DŨNG</t>
  </si>
  <si>
    <t>B16-0000598</t>
  </si>
  <si>
    <t>TRẦN THỊ THU</t>
  </si>
  <si>
    <t>A12-0004856</t>
  </si>
  <si>
    <t>NGÔ HOÀNG XEM</t>
  </si>
  <si>
    <t>N18-0135189</t>
  </si>
  <si>
    <t>ĐỖ DOÃN TUÂN</t>
  </si>
  <si>
    <t>B10-0049523</t>
  </si>
  <si>
    <t>TRẦN CẢNH LÂM</t>
  </si>
  <si>
    <t>B23-0001522</t>
  </si>
  <si>
    <t>PHẠM ANH HÀO</t>
  </si>
  <si>
    <t>B23-0001535</t>
  </si>
  <si>
    <t>LÊ HOÀNG SANG</t>
  </si>
  <si>
    <t>B26-0002521</t>
  </si>
  <si>
    <t>NGUYỄN QUANG BA</t>
  </si>
  <si>
    <t>N25-0047003</t>
  </si>
  <si>
    <t>ĐỖ VĂN NHUNG</t>
  </si>
  <si>
    <t>B17-0016012</t>
  </si>
  <si>
    <t>NGUYỄN CÔNG HẠNH</t>
  </si>
  <si>
    <t>B23-0001816</t>
  </si>
  <si>
    <t>NGUYỄN VŨ PHƯƠNG</t>
  </si>
  <si>
    <t>N18-0277789</t>
  </si>
  <si>
    <t>NGUYỄN TRUNG DŨNG</t>
  </si>
  <si>
    <t>B20-0009760</t>
  </si>
  <si>
    <t>TRẦN ĐÌNH THUẬN</t>
  </si>
  <si>
    <t>N14-0139913</t>
  </si>
  <si>
    <t>BÙI MINH CHIẾN</t>
  </si>
  <si>
    <t>N15-0096899</t>
  </si>
  <si>
    <t>LƯU MỸ LINH</t>
  </si>
  <si>
    <t>N21-0174840</t>
  </si>
  <si>
    <t>NGUYỄN THẢO NGUYÊN</t>
  </si>
  <si>
    <t>B23-0005908</t>
  </si>
  <si>
    <t>VŨ MẠNH CƯỜNG</t>
  </si>
  <si>
    <t>N24-0311288</t>
  </si>
  <si>
    <t>NGUYỄN PHƯỚC THIÊN</t>
  </si>
  <si>
    <t>B14-0010030</t>
  </si>
  <si>
    <t>NGUYỄN PHƯỚC HẢI</t>
  </si>
  <si>
    <t>B17-0009953</t>
  </si>
  <si>
    <t>NGUYỄN THỊ THU HIỀN</t>
  </si>
  <si>
    <t>B17-0002411</t>
  </si>
  <si>
    <t>BÙI XUÂN BÌNH</t>
  </si>
  <si>
    <t>A12-0242238</t>
  </si>
  <si>
    <t>LÊ NHẬT VINH</t>
  </si>
  <si>
    <t>B23-0003912</t>
  </si>
  <si>
    <t>LAM THU HƯƠNG</t>
  </si>
  <si>
    <t>N15-0071390</t>
  </si>
  <si>
    <t>NGUYỄN THỊ HỒNG TÚ</t>
  </si>
  <si>
    <t>B17-0016021</t>
  </si>
  <si>
    <t>KHỔNG ĐỨC TÂM</t>
  </si>
  <si>
    <t>B25-0003285</t>
  </si>
  <si>
    <t>NGÔ THỊ ĐÀO</t>
  </si>
  <si>
    <t>B16-0000667</t>
  </si>
  <si>
    <t>HỒ QUANG THANH</t>
  </si>
  <si>
    <t>N21-0141366</t>
  </si>
  <si>
    <t>VŨ DƯƠNG MẠNH QUÂN</t>
  </si>
  <si>
    <t>B16-0000571</t>
  </si>
  <si>
    <t>LÊ TẤN PHI SƠN</t>
  </si>
  <si>
    <t>B19-0004727</t>
  </si>
  <si>
    <t>TRẦN MINH SĨ</t>
  </si>
  <si>
    <t>B26-0002546</t>
  </si>
  <si>
    <t>TRỊNH HOÀNG GIANG</t>
  </si>
  <si>
    <t>N13-0108110</t>
  </si>
  <si>
    <t>DƯƠNG THỊ THANH THỦY</t>
  </si>
  <si>
    <t>B19-0011116</t>
  </si>
  <si>
    <t>HOÀNG NHẬT TÂN</t>
  </si>
  <si>
    <t>N19-0092855</t>
  </si>
  <si>
    <t>TRẦN PHƯỚC TUẤN ANH</t>
  </si>
  <si>
    <t>B26-0003147</t>
  </si>
  <si>
    <t>TRỊNH THANH TÙNG</t>
  </si>
  <si>
    <t>N13-0042614</t>
  </si>
  <si>
    <t>ĐOÀN VĂN TUẤN</t>
  </si>
  <si>
    <t>B24-0003153</t>
  </si>
  <si>
    <t>NGUYỄN THIỆN TÂM</t>
  </si>
  <si>
    <t>B23-0001538</t>
  </si>
  <si>
    <t>NGUYỄN VĂN KHIÊM</t>
  </si>
  <si>
    <t>B25-0003291</t>
  </si>
  <si>
    <t>HUỲNH PHONG NHÃ</t>
  </si>
  <si>
    <t>B14-0004737</t>
  </si>
  <si>
    <t>NGUYỄN ĐÌNH TUẤN</t>
  </si>
  <si>
    <t>B20-0009178</t>
  </si>
  <si>
    <t>NGUYỄN THỊ THU HẰNG</t>
  </si>
  <si>
    <t>N20-0157481</t>
  </si>
  <si>
    <t>ĐOÀN THỊ HÂN</t>
  </si>
  <si>
    <t>B26-0002661</t>
  </si>
  <si>
    <t>TRƯƠNG THỊ NGUYỆT ÁNH</t>
  </si>
  <si>
    <t>B19-0011426</t>
  </si>
  <si>
    <t>NGUYỄN THÀNH THÁI</t>
  </si>
  <si>
    <t>N22-0294566</t>
  </si>
  <si>
    <t>MAI BÁ CHUYÊN</t>
  </si>
  <si>
    <t>N24-0042772</t>
  </si>
  <si>
    <t>ĐỖ THANH DUY</t>
  </si>
  <si>
    <t>A07-0178722</t>
  </si>
  <si>
    <t>TÔ THỊ HẰNG</t>
  </si>
  <si>
    <t>B23-0002499</t>
  </si>
  <si>
    <t>HÀ VIỆT THANH</t>
  </si>
  <si>
    <t>A06-0079544</t>
  </si>
  <si>
    <t>TRỊNH NGỌC GIÁ</t>
  </si>
  <si>
    <t>B26-0003274</t>
  </si>
  <si>
    <t>CAO ĐÌNH TRIẾT</t>
  </si>
  <si>
    <t>B23-0002496</t>
  </si>
  <si>
    <t>TRẦN HOÀNG PHONG</t>
  </si>
  <si>
    <t>B23-0002501</t>
  </si>
  <si>
    <t>CAO VĂN NHÂN</t>
  </si>
  <si>
    <t>B26-0003193</t>
  </si>
  <si>
    <t>NGUYỄN THỊ NGỌC QUYÊN</t>
  </si>
  <si>
    <t>B26-0003192</t>
  </si>
  <si>
    <t>TRẦN THANH PHONG</t>
  </si>
  <si>
    <t>B26-0003164</t>
  </si>
  <si>
    <t>TRỊNH NGỌC NAM</t>
  </si>
  <si>
    <t>B15-0013613</t>
  </si>
  <si>
    <t>TRẦN THỊ HÀ</t>
  </si>
  <si>
    <t>B26-0002978</t>
  </si>
  <si>
    <t>PHAN TRUNG HIẾU</t>
  </si>
  <si>
    <t>N18-0362071</t>
  </si>
  <si>
    <t>NGUYỄN NGỌC HÀ</t>
  </si>
  <si>
    <t>B26-0003198</t>
  </si>
  <si>
    <t>LÊ MINH Ý</t>
  </si>
  <si>
    <t>B26-0003191</t>
  </si>
  <si>
    <t>NGUYỄN MINH NGỌC</t>
  </si>
  <si>
    <t>B15-0013612</t>
  </si>
  <si>
    <t>NGUYỄN THỊ XUÂN LIỄU</t>
  </si>
  <si>
    <t>B15-0013614</t>
  </si>
  <si>
    <t>PHẠM THỊ LOAN</t>
  </si>
  <si>
    <t>N18-0115355</t>
  </si>
  <si>
    <t>NGUYỄN THỊ HUY MÂN</t>
  </si>
  <si>
    <t>B15-0013608</t>
  </si>
  <si>
    <t>VÕ THỊ HỒNG VÂN</t>
  </si>
  <si>
    <t>B15-0013610</t>
  </si>
  <si>
    <t>ĐẶNG THỊ HẰNG</t>
  </si>
  <si>
    <t>B19-0006892</t>
  </si>
  <si>
    <t>NGUYỄN THỊ THANH HẰNG</t>
  </si>
  <si>
    <t>N18-0443763</t>
  </si>
  <si>
    <t>NGUYỄN THỊ THU TRANG</t>
  </si>
  <si>
    <t>B26-0002490</t>
  </si>
  <si>
    <t>ĐỖ VŨ QUYÊN</t>
  </si>
  <si>
    <t>B26-0002542</t>
  </si>
  <si>
    <t>PHẠM ĐỨC ANH</t>
  </si>
  <si>
    <t>B19-0011948</t>
  </si>
  <si>
    <t>TÔ PHƯƠNG THÚY</t>
  </si>
  <si>
    <t>B26-0002578</t>
  </si>
  <si>
    <t>NGUYỄN THÁI VIỆT</t>
  </si>
  <si>
    <t>B19-0011934</t>
  </si>
  <si>
    <t>LÊ THÀNH ĐẠT</t>
  </si>
  <si>
    <t>B16-0014359</t>
  </si>
  <si>
    <t>LÊ KHÁNH DƯ</t>
  </si>
  <si>
    <t>B26-0002386</t>
  </si>
  <si>
    <t>TRẦN NGỌC SANG</t>
  </si>
  <si>
    <t>B26-0002601</t>
  </si>
  <si>
    <t>LÊ HỒNG HÀ</t>
  </si>
  <si>
    <t>B26-0002877</t>
  </si>
  <si>
    <t>TRẦN TRỌNG KHANG</t>
  </si>
  <si>
    <t>B26-0002610</t>
  </si>
  <si>
    <t>NGUYỄN THỊ MỸ LỆ</t>
  </si>
  <si>
    <t>B26-0002530</t>
  </si>
  <si>
    <t>NGUYỄN VĂN KHỞI</t>
  </si>
  <si>
    <t>N21-0217124</t>
  </si>
  <si>
    <t>NGUYỄN THỊ KIM HOA</t>
  </si>
  <si>
    <t>B19-0014368</t>
  </si>
  <si>
    <t>MAI ANH TUẤN</t>
  </si>
  <si>
    <t>B26-0003292</t>
  </si>
  <si>
    <t>ĐẶNG MINH HIẾU</t>
  </si>
  <si>
    <t>B20-0006252</t>
  </si>
  <si>
    <t>PHẠM HỮU NGHĨA</t>
  </si>
  <si>
    <t>B20-0006254</t>
  </si>
  <si>
    <t>DƯƠNG THANH PHONG</t>
  </si>
  <si>
    <t>A06-0163034</t>
  </si>
  <si>
    <t>TẠ THỊ LÊ LY</t>
  </si>
  <si>
    <t>B20-0006260</t>
  </si>
  <si>
    <t>PHẠM NGỌC TÂN</t>
  </si>
  <si>
    <t>B20-0006256</t>
  </si>
  <si>
    <t>PHẠM HỒNG PHƯƠNG</t>
  </si>
  <si>
    <t>B19-0003823</t>
  </si>
  <si>
    <t>VÕ THÙY LINH</t>
  </si>
  <si>
    <t>N17-0396734</t>
  </si>
  <si>
    <t>LƯƠNG MINH TRIẾT</t>
  </si>
  <si>
    <t>B19-0012175</t>
  </si>
  <si>
    <t>PHẠM HUY LONG</t>
  </si>
  <si>
    <t>B22-0003714</t>
  </si>
  <si>
    <t>TRẦN QUANG HÙNG</t>
  </si>
  <si>
    <t>B18-0017965</t>
  </si>
  <si>
    <t>NGUYỄN HỮU PHÚ</t>
  </si>
  <si>
    <t>B24-0008003</t>
  </si>
  <si>
    <t>BÙI QUỐC PHƯƠNG</t>
  </si>
  <si>
    <t>B26-0002776</t>
  </si>
  <si>
    <t>LÊ BÁ THỊNH</t>
  </si>
  <si>
    <t>B26-0002780</t>
  </si>
  <si>
    <t>PHẠM ĐÌNH TRUNG</t>
  </si>
  <si>
    <t>B23-0004895</t>
  </si>
  <si>
    <t>B26-0003309</t>
  </si>
  <si>
    <t>B14-0019219</t>
  </si>
  <si>
    <t>NGUYỄN QUỐC HUY</t>
  </si>
  <si>
    <t>B14-0019335</t>
  </si>
  <si>
    <t>NGUYỄN TUẤN KIỆT</t>
  </si>
  <si>
    <t>B26-0001079</t>
  </si>
  <si>
    <t>LÊ TRUNG DUY</t>
  </si>
  <si>
    <t>B25-0006211</t>
  </si>
  <si>
    <t>NGUYỄN ANH DŨNG</t>
  </si>
  <si>
    <t>B26-0002931</t>
  </si>
  <si>
    <t>NGUYỄN HỮU CÔNG</t>
  </si>
  <si>
    <t>B26-0002951</t>
  </si>
  <si>
    <t>HUỲNH TUẤN ĐƯỢC</t>
  </si>
  <si>
    <t>N16-0017443</t>
  </si>
  <si>
    <t>NGUYỄN MINH TRUNG</t>
  </si>
  <si>
    <t>B20-0006259</t>
  </si>
  <si>
    <t>LÊ THỊ TÂM</t>
  </si>
  <si>
    <t>B26-0003066</t>
  </si>
  <si>
    <t>TRẦN THÀNH</t>
  </si>
  <si>
    <t>B26-0003293</t>
  </si>
  <si>
    <t>NGUYỄN VĂN HOÀNG</t>
  </si>
  <si>
    <t>B24-0004583</t>
  </si>
  <si>
    <t>NGUYỄN THANH PHONG</t>
  </si>
  <si>
    <t>N20-0143613</t>
  </si>
  <si>
    <t>BÙI THỊ HỒNG</t>
  </si>
  <si>
    <t>B24-0001102</t>
  </si>
  <si>
    <t>TỪ NHƯ VINH</t>
  </si>
  <si>
    <t>B17-0003010</t>
  </si>
  <si>
    <t>NGUYỄN HÀ LÊ HUY</t>
  </si>
  <si>
    <t>B26-0003349</t>
  </si>
  <si>
    <t>TRẦN TRUNG HIẾU</t>
  </si>
  <si>
    <t>B14-0002612</t>
  </si>
  <si>
    <t>TRẦN NGỌC PHƯƠNG QUỲNH</t>
  </si>
  <si>
    <t>B17-0003084</t>
  </si>
  <si>
    <t>NGUYỄN THỊ NHƯ THỦY</t>
  </si>
  <si>
    <t>B24-0006662</t>
  </si>
  <si>
    <t>ĐÀO TÚ TÀI</t>
  </si>
  <si>
    <t>B25-0005266</t>
  </si>
  <si>
    <t>PHẠM DƯƠNG HỒNG ANH</t>
  </si>
  <si>
    <t>B17-0003051</t>
  </si>
  <si>
    <t>TRỊNH THỊ LỆ THƯƠNG</t>
  </si>
  <si>
    <t>B17-0003039</t>
  </si>
  <si>
    <t>HUỲNH CAO THẮNG</t>
  </si>
  <si>
    <t>B26-0003182</t>
  </si>
  <si>
    <t>NGHIÊM VĂN TÂM</t>
  </si>
  <si>
    <t>B17-0002998</t>
  </si>
  <si>
    <t>NGUYỄN THỊ HẢI</t>
  </si>
  <si>
    <t>B17-0003002</t>
  </si>
  <si>
    <t>PHAN THỊ TÂM HÒA</t>
  </si>
  <si>
    <t>RƯỢU</t>
  </si>
  <si>
    <t>N17-0378932</t>
  </si>
  <si>
    <t>NGUYỄN ĐÔNG HẢI</t>
  </si>
  <si>
    <t>B16-0006560</t>
  </si>
  <si>
    <t>TRẦN KIM HOÀNG KHANG</t>
  </si>
  <si>
    <t>B16-0006584</t>
  </si>
  <si>
    <t>NGUYỄN MINH TÂM</t>
  </si>
  <si>
    <t>N15-0264112</t>
  </si>
  <si>
    <t>NGUYỄN HỒNG ĐỨC</t>
  </si>
  <si>
    <t>B24-0000115</t>
  </si>
  <si>
    <t>BÙI CẢNH HƯNG</t>
  </si>
  <si>
    <t>B25-0003019</t>
  </si>
  <si>
    <t>HUỲNH THIỆN TÂM</t>
  </si>
  <si>
    <t>N22-0346919</t>
  </si>
  <si>
    <t>VÕ HOÀNG PHÚC</t>
  </si>
  <si>
    <t>B25-0002054</t>
  </si>
  <si>
    <t>VÕ NGỌC KHANH</t>
  </si>
  <si>
    <t>B22-0002034</t>
  </si>
  <si>
    <t>MA KIÊN THẮNG</t>
  </si>
  <si>
    <t>B25-0003150</t>
  </si>
  <si>
    <t>NGUYỄN THÁI BÌNH</t>
  </si>
  <si>
    <t>B25-0003258</t>
  </si>
  <si>
    <t>MAI ĐĂNG TÂM</t>
  </si>
  <si>
    <t>N22-0032723</t>
  </si>
  <si>
    <t>TẠ MINH TÂM</t>
  </si>
  <si>
    <t>NGUYỄN VÕ ĐĂNG TRƯỜNG</t>
  </si>
  <si>
    <t>B16-0005487</t>
  </si>
  <si>
    <t>NGUYỄN ĐÌNH HUY</t>
  </si>
  <si>
    <t>B24-0002922</t>
  </si>
  <si>
    <t>PHẠM MINH KHEN</t>
  </si>
  <si>
    <t>A11-0269742</t>
  </si>
  <si>
    <t>VÕ VĂN TÂN</t>
  </si>
  <si>
    <t>A12-0180359</t>
  </si>
  <si>
    <t>ĐỨC NGỌC NAM</t>
  </si>
  <si>
    <t>B20-0007341</t>
  </si>
  <si>
    <t>PHẠM HOÀNG HIẾU</t>
  </si>
  <si>
    <t>B20-0007336</t>
  </si>
  <si>
    <t>NGUYỄN MINH ĐỨC</t>
  </si>
  <si>
    <t>B11-0009473</t>
  </si>
  <si>
    <t>NGUYỄN DUY KHÁNH</t>
  </si>
  <si>
    <t>B15-0021175</t>
  </si>
  <si>
    <t>ĐƯỜNG VĂN TRƯỚC</t>
  </si>
  <si>
    <t>B15-0021094</t>
  </si>
  <si>
    <t>NGUYỄN HỮU ĐỨC</t>
  </si>
  <si>
    <t>B25-0001612</t>
  </si>
  <si>
    <t>PHẠM NGỌC HOÀNG</t>
  </si>
  <si>
    <t>B24-0001858</t>
  </si>
  <si>
    <t>TRẦN XUÂN HỒNG</t>
  </si>
  <si>
    <t>N18-0184893</t>
  </si>
  <si>
    <t>LƯƠNG TRƯỜNG VIÊN</t>
  </si>
  <si>
    <t>B19-0012429</t>
  </si>
  <si>
    <t>ĐÀO ĐÌNH NAM</t>
  </si>
  <si>
    <t>N13-0141389</t>
  </si>
  <si>
    <t>LÊ MINH ĐỨC</t>
  </si>
  <si>
    <t>B16-0000475</t>
  </si>
  <si>
    <t>TRẦN VĂN BẢY</t>
  </si>
  <si>
    <t>A11-0269749</t>
  </si>
  <si>
    <t>NGUYỄN CHÂU TOÀN</t>
  </si>
  <si>
    <t>A11-0269713</t>
  </si>
  <si>
    <t>PHẠM THỊ KIM NGÂN</t>
  </si>
  <si>
    <t>B25-0001608</t>
  </si>
  <si>
    <t>ĐOÀN MINH CHIẾN</t>
  </si>
  <si>
    <t>B26-0001955</t>
  </si>
  <si>
    <t>CAO TUẤN ANH</t>
  </si>
  <si>
    <t>B16-0000581</t>
  </si>
  <si>
    <t>NGUYỄN CHIẾN THẮNG</t>
  </si>
  <si>
    <t>B26-0002476</t>
  </si>
  <si>
    <t>TRẦN NGỌC LONG</t>
  </si>
  <si>
    <t>B23-0000989</t>
  </si>
  <si>
    <t>CHÂU THÀNH TỔNG</t>
  </si>
  <si>
    <t>N24-0242597</t>
  </si>
  <si>
    <t>PHÙNG QUANG PHI</t>
  </si>
  <si>
    <t>B17-0000530</t>
  </si>
  <si>
    <t>LÊ THÀNH HƯNG</t>
  </si>
  <si>
    <t>B23-0003918</t>
  </si>
  <si>
    <t>NGUYỄN VĂN THÀNH</t>
  </si>
  <si>
    <t>B11-0033549</t>
  </si>
  <si>
    <t>NGÔ MINH ĐỨC</t>
  </si>
  <si>
    <t>B26-0002809</t>
  </si>
  <si>
    <t>ĐẶNG THỊ OANH</t>
  </si>
  <si>
    <t>N15-0322795</t>
  </si>
  <si>
    <t>NGUYỄN THỊ KIM PHƯỢNG</t>
  </si>
  <si>
    <t>B12-0001942</t>
  </si>
  <si>
    <t>LƯU THỊ MAI HƯƠNG</t>
  </si>
  <si>
    <t>B17-0017484</t>
  </si>
  <si>
    <t>NGUYỄN HỒNG THANH</t>
  </si>
  <si>
    <t>B20-0002245</t>
  </si>
  <si>
    <t>TRẦN ĐỨC MẪN</t>
  </si>
  <si>
    <t>A12-0242311</t>
  </si>
  <si>
    <t>B11-0029535</t>
  </si>
  <si>
    <t>TRẦN VĂN ĐỨC</t>
  </si>
  <si>
    <t>B20-0002244</t>
  </si>
  <si>
    <t>PHAN TẤN LÝ</t>
  </si>
  <si>
    <t>B20-0009164</t>
  </si>
  <si>
    <t>HÀ TUẤN ANH</t>
  </si>
  <si>
    <t>B26-0002618</t>
  </si>
  <si>
    <t>ĐOÀN LAN PHƯƠNG</t>
  </si>
  <si>
    <t>N17-0353780</t>
  </si>
  <si>
    <t>PHẠM THỊ THU HƯỜNG</t>
  </si>
  <si>
    <t>B23-0003365</t>
  </si>
  <si>
    <t>NGUYỄN TRỌNG TIỀN</t>
  </si>
  <si>
    <t>B24-0001901</t>
  </si>
  <si>
    <t>NGUYỄN NGỌC ĐAN</t>
  </si>
  <si>
    <t>B26-0002715</t>
  </si>
  <si>
    <t>PHAN THANH CHƯƠNG</t>
  </si>
  <si>
    <t>B23-0004474</t>
  </si>
  <si>
    <t>NGUYỄN THÀNH ĐẠT</t>
  </si>
  <si>
    <t>B23-0002495</t>
  </si>
  <si>
    <t>LÊ NGỌC CƯƠNG</t>
  </si>
  <si>
    <t>B19-0012510</t>
  </si>
  <si>
    <t>B26-0003236</t>
  </si>
  <si>
    <t>NGUYỄN HỒNG THIỆN</t>
  </si>
  <si>
    <t>B26-0003142</t>
  </si>
  <si>
    <t>TRẦN THẾ NHÂN</t>
  </si>
  <si>
    <t>B20-0009189</t>
  </si>
  <si>
    <t>LÊ HUỲNH HẢI PHẬN</t>
  </si>
  <si>
    <t>N23-0220046</t>
  </si>
  <si>
    <t>NGUYỄN CÁC KHÁNH</t>
  </si>
  <si>
    <t>B25-0003326</t>
  </si>
  <si>
    <t>VŨ NGỌC QUANG</t>
  </si>
  <si>
    <t>N18-0303127</t>
  </si>
  <si>
    <t>HUỲNH THIỆN PHÚC</t>
  </si>
  <si>
    <t>B24-0004579</t>
  </si>
  <si>
    <t>PHẠM HOÀNG KHƯƠNG</t>
  </si>
  <si>
    <t>A12-0077115</t>
  </si>
  <si>
    <t>VÕ MINH DŨNG</t>
  </si>
  <si>
    <t>B23-0004578</t>
  </si>
  <si>
    <t>PHAN VĂN HÙNG</t>
  </si>
  <si>
    <t>B26-0002883</t>
  </si>
  <si>
    <t>VÕ TẤN THỊNH</t>
  </si>
  <si>
    <t>DƯƠNG TUẤN THĂNG</t>
  </si>
  <si>
    <t>B17-0004092</t>
  </si>
  <si>
    <t>BÙI THANH CẢNH</t>
  </si>
  <si>
    <t>B26-0002947</t>
  </si>
  <si>
    <t>ĐINH VĂN ĐỨC</t>
  </si>
  <si>
    <t>B26-0003463</t>
  </si>
  <si>
    <t>TRẦN NGỌC THẮNG</t>
  </si>
  <si>
    <t>N21-0225046</t>
  </si>
  <si>
    <t>VŨ HOÀNG THANH DŨNG</t>
  </si>
  <si>
    <t>A13-0132846</t>
  </si>
  <si>
    <t>HUỲNH SƠN ĐẢNH</t>
  </si>
  <si>
    <t>B26-0003466</t>
  </si>
  <si>
    <t>NGUYỄN ANH TUẤN</t>
  </si>
  <si>
    <t>B26-0002957</t>
  </si>
  <si>
    <t>NGUYỄN HOÀNG GIA</t>
  </si>
  <si>
    <t>B26-0003451</t>
  </si>
  <si>
    <t>LƯU TRẦN BẢO</t>
  </si>
  <si>
    <t>B26-0003467</t>
  </si>
  <si>
    <t>TRẦN THỊ THU TUYẾT</t>
  </si>
  <si>
    <t>VŨ HOÀNG TÙNG</t>
  </si>
  <si>
    <t>B22-0004036</t>
  </si>
  <si>
    <t>TRẦN XUÂN VINH</t>
  </si>
  <si>
    <t>A13-0162121</t>
  </si>
  <si>
    <t>PHAN ĐẮC TOÀN</t>
  </si>
  <si>
    <t>B26-0003091</t>
  </si>
  <si>
    <t>TRẦN QUỐC VŨ</t>
  </si>
  <si>
    <t>B26-0003008</t>
  </si>
  <si>
    <t>NGUYỄN CHÂU HIẾU</t>
  </si>
  <si>
    <t>B26-0002937</t>
  </si>
  <si>
    <t>LÊ QUỐC ĐẠT</t>
  </si>
  <si>
    <t>B26-0002948</t>
  </si>
  <si>
    <t>NGUYỄN MẠNH ĐỨC</t>
  </si>
  <si>
    <t>B26-0003077</t>
  </si>
  <si>
    <t>TRẦN MINH TRÍ</t>
  </si>
  <si>
    <t>B14-0014545</t>
  </si>
  <si>
    <t>NGUYỄN HỒNG MINH</t>
  </si>
  <si>
    <t>B24-0007743</t>
  </si>
  <si>
    <t>NGUYỄN NGỌC HUYỀN TRANG</t>
  </si>
  <si>
    <t>N13-0017711</t>
  </si>
  <si>
    <t>NGÔ KHÁNH HOÀNG</t>
  </si>
  <si>
    <t>TyG-WC INDEX</t>
  </si>
  <si>
    <t>FLI INDEX</t>
  </si>
  <si>
    <t>B26-0003359</t>
  </si>
  <si>
    <t>NGUYỄN THỊ NGỌC THẮM</t>
  </si>
  <si>
    <t>N19-0370441</t>
  </si>
  <si>
    <t>B26-0003476</t>
  </si>
  <si>
    <t>NGUYỄN PHƯỚC BÌNH</t>
  </si>
  <si>
    <t>FIBRO</t>
  </si>
  <si>
    <t>B25-0000616</t>
  </si>
  <si>
    <t>NGUYỄN THÀNH TRUNG</t>
  </si>
  <si>
    <t>MASH</t>
  </si>
  <si>
    <t>TRƯƠNG QUANG VĨNH</t>
  </si>
  <si>
    <t>N14-0044850</t>
  </si>
  <si>
    <t>CHÂU THỦ</t>
  </si>
  <si>
    <t>N14-0052839</t>
  </si>
  <si>
    <t>NGUYỄN THỊ DƯỠNG</t>
  </si>
  <si>
    <t>B26-0003786</t>
  </si>
  <si>
    <t>NGUYỄN PHÚC TIẾN</t>
  </si>
  <si>
    <t>B25-0005299</t>
  </si>
  <si>
    <t>B16-0012565</t>
  </si>
  <si>
    <t>TẠ HỒNG QUÂN</t>
  </si>
  <si>
    <t>B26-0005811</t>
  </si>
  <si>
    <t>VŨ ANH HÀ</t>
  </si>
  <si>
    <t>B26-0008579</t>
  </si>
  <si>
    <t>PHẠM BẢO LONG</t>
  </si>
  <si>
    <t>N22-0128313</t>
  </si>
  <si>
    <t>ĐỖ DUY PHƯƠNG</t>
  </si>
  <si>
    <t>B26-0005693</t>
  </si>
  <si>
    <t>TRẦN HỮU LỢI</t>
  </si>
  <si>
    <t>B15-0025069</t>
  </si>
  <si>
    <t>NGUYỄN THÀNH LIÊM</t>
  </si>
  <si>
    <t>B15-0024997</t>
  </si>
  <si>
    <t>ĐỖ HUY CƯỜNG</t>
  </si>
  <si>
    <t>B17-0013033</t>
  </si>
  <si>
    <t>DƯƠNG THẾ ANH</t>
  </si>
  <si>
    <t>B16-0014750</t>
  </si>
  <si>
    <t>VƯƠNG THỊ HỒNG LOAN</t>
  </si>
  <si>
    <t>B22-0006957</t>
  </si>
  <si>
    <t>NGUYỄN NGỌC DUY</t>
  </si>
  <si>
    <t>B26-0008132</t>
  </si>
  <si>
    <t>QUÁCH VĂN NGHIỆP</t>
  </si>
  <si>
    <t>B19-0012661</t>
  </si>
  <si>
    <t>NGÔ THỊ TUYẾT NGA</t>
  </si>
  <si>
    <t>B26-0008590</t>
  </si>
  <si>
    <t>BÙI TRẦN XUÂN TRIẾT</t>
  </si>
  <si>
    <t>N26-0237525</t>
  </si>
  <si>
    <t>HUỲNH CÔNG PHÁT</t>
  </si>
  <si>
    <t>N13-0090448</t>
  </si>
  <si>
    <t>TỐNG VIẾT LỢI</t>
  </si>
  <si>
    <t>B23-0007134</t>
  </si>
  <si>
    <t>PHẠM THỊ KIỀU DIỄM</t>
  </si>
  <si>
    <t>B26-0005657</t>
  </si>
  <si>
    <t>HÀ ANH DŨNG</t>
  </si>
  <si>
    <t>B26-0007401</t>
  </si>
  <si>
    <t>LÊ PHẠM THÙY DƯƠNG</t>
  </si>
  <si>
    <t>B26-0007402</t>
  </si>
  <si>
    <t>TRẦN THỊ KIM THÙY</t>
  </si>
  <si>
    <t>B19-0012649</t>
  </si>
  <si>
    <t>TỪ VĂN HƯỞNG</t>
  </si>
  <si>
    <t>B15-0000933</t>
  </si>
  <si>
    <t>B25-0006900</t>
  </si>
  <si>
    <t>LÊ MINH HOÀNG</t>
  </si>
  <si>
    <t>A08-0140317</t>
  </si>
  <si>
    <t>HOÀNG THỊ QUÝ</t>
  </si>
  <si>
    <t>B17-0001686</t>
  </si>
  <si>
    <t>TRẦN THỊ TÂM</t>
  </si>
  <si>
    <t>B26-0008634</t>
  </si>
  <si>
    <t>ĐOÀN THỊ PHƯƠNG</t>
  </si>
  <si>
    <t>N26-0043178</t>
  </si>
  <si>
    <t>BÙI THỊ QUỲNH ANH</t>
  </si>
  <si>
    <t>B26-0006292</t>
  </si>
  <si>
    <t>NGUYỄN THÚY AN</t>
  </si>
  <si>
    <t>B26-0006969</t>
  </si>
  <si>
    <t>KHỔNG HOÀNG SINH</t>
  </si>
  <si>
    <t>B26-0008148</t>
  </si>
  <si>
    <t>LÊ VĂN TẬP</t>
  </si>
  <si>
    <t>B26-0005651</t>
  </si>
  <si>
    <t>NGUYỄN TIẾN ĐẠT</t>
  </si>
  <si>
    <t>B15-0025025</t>
  </si>
  <si>
    <t>THI CẨM GIANG</t>
  </si>
  <si>
    <t>B15-0025106</t>
  </si>
  <si>
    <t>LÊ THEO RY</t>
  </si>
  <si>
    <t>B15-0025057</t>
  </si>
  <si>
    <t>HÀNG VĂN KHẢI</t>
  </si>
  <si>
    <t>B15-0025133</t>
  </si>
  <si>
    <t>NGUYỄN DUY THUẬN</t>
  </si>
  <si>
    <t>B26-0008599</t>
  </si>
  <si>
    <t>HỒ TẮC MINH</t>
  </si>
  <si>
    <t>B18-0014541</t>
  </si>
  <si>
    <t>B15-0025256</t>
  </si>
  <si>
    <t>TRẦN NGUYỄN</t>
  </si>
  <si>
    <t>B15-0025076</t>
  </si>
  <si>
    <t>NGUYỄN THANH LONG</t>
  </si>
  <si>
    <t>B15-0025121</t>
  </si>
  <si>
    <t>NGUYỄN DUY THANH</t>
  </si>
  <si>
    <t>B22-0004825</t>
  </si>
  <si>
    <t>LÊ MINH TRUNG</t>
  </si>
  <si>
    <t>B26-0008595</t>
  </si>
  <si>
    <t>B15-0025147</t>
  </si>
  <si>
    <t>NGUYỄN NGỌC TIẾN</t>
  </si>
  <si>
    <t>B15-0025028</t>
  </si>
  <si>
    <t>LÊ VĂN BÉ MƯỜI HAI</t>
  </si>
  <si>
    <t>B15-0024994</t>
  </si>
  <si>
    <t>ĐỖ HOÀNG CHƯƠNG</t>
  </si>
  <si>
    <t>B19-0011129</t>
  </si>
  <si>
    <t>TRANG BÁ LẦU</t>
  </si>
  <si>
    <t>B19-0011295</t>
  </si>
  <si>
    <t>ĐĂNG TRỌNG ĐẠI</t>
  </si>
  <si>
    <t>B26-0008142</t>
  </si>
  <si>
    <t>NGUYỄN NHƯ SANG</t>
  </si>
  <si>
    <t>A11-0005518</t>
  </si>
  <si>
    <t>PHAN ĐĂNG KHOA</t>
  </si>
  <si>
    <t>B26-0005724</t>
  </si>
  <si>
    <t>NGUYỄN MINH TÂN</t>
  </si>
  <si>
    <t>B26-0006270</t>
  </si>
  <si>
    <t>B15-0025279</t>
  </si>
  <si>
    <t>NGUYỄN NHỰT QÚY</t>
  </si>
  <si>
    <t>NGUYỄN NHẬT THANH</t>
  </si>
  <si>
    <t>B15-0015122</t>
  </si>
  <si>
    <t>B15-0024983</t>
  </si>
  <si>
    <t>MAI CÔNG BÌNH</t>
  </si>
  <si>
    <t>B20-0006563</t>
  </si>
  <si>
    <t>BÙI THANH NGỌC BÁCH</t>
  </si>
  <si>
    <t>B06-0044546</t>
  </si>
  <si>
    <t>NGUYỄN LÊ THÁI SƠN</t>
  </si>
  <si>
    <t>B24-0006286</t>
  </si>
  <si>
    <t>NGÔ PHƯỚC AN</t>
  </si>
  <si>
    <t>A07-0036125</t>
  </si>
  <si>
    <t>HUỲNH PHƯỚC SƠN</t>
  </si>
  <si>
    <t>B23-0004199</t>
  </si>
  <si>
    <t>PHAN THỊ THANH THÚY</t>
  </si>
  <si>
    <t>B26-0009051</t>
  </si>
  <si>
    <t>BÙI THỊ NGỌC THƯ</t>
  </si>
  <si>
    <t>B26-0006320</t>
  </si>
  <si>
    <t>NGUYỄN THỊ VÂN NHUNG</t>
  </si>
  <si>
    <t>B14-0016543</t>
  </si>
  <si>
    <t>HỒ DUY ĐỨC</t>
  </si>
  <si>
    <t>B14-0016620</t>
  </si>
  <si>
    <t>NGUYỄN TRƯƠNG HUY TOÀN</t>
  </si>
  <si>
    <t>A10-0026348</t>
  </si>
  <si>
    <t>NGUYỄN THỊ THÚY HÀ</t>
  </si>
  <si>
    <t>B24-0006771</t>
  </si>
  <si>
    <t>TẠ HOÀNG ANH ĐỨC</t>
  </si>
  <si>
    <t>B15-0000929</t>
  </si>
  <si>
    <t>BẠCH THỊ HOA KIỂU</t>
  </si>
  <si>
    <t>NGUYỄN QUỐC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</si>
</sst>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C226BA-3595-B44C-A2B9-7F81F14F1441}" name="Table1" displayName="Table1" ref="A1:X524" totalsRowShown="0">
  <autoFilter ref="A1:X524" xr:uid="{C0C226BA-3595-B44C-A2B9-7F81F14F1441}">
    <filterColumn colId="21">
      <filters>
        <filter val="0"/>
      </filters>
    </filterColumn>
  </autoFilter>
  <tableColumns count="24">
    <tableColumn id="1" xr3:uid="{1AF93356-16D6-2F4B-AA3D-F06D770104D7}" name="MÃ HỒ SƠ"/>
    <tableColumn id="2" xr3:uid="{576BC6A8-12E4-FC40-A570-26FB7DBE9A0C}" name="HỌ TÊN"/>
    <tableColumn id="3" xr3:uid="{88A1617D-2003-9443-A8BC-6DB494B5DD2F}" name="NĂM SINH"/>
    <tableColumn id="4" xr3:uid="{C3424588-E728-9B4E-818E-A67EA37061F3}" name="GIỚI"/>
    <tableColumn id="5" xr3:uid="{AFD107C6-A3AD-DA40-AEB2-ECCFFA28959B}" name="GMN"/>
    <tableColumn id="6" xr3:uid="{5037F738-CE98-4743-B3DE-7E0DED95E36E}" name="CÂN KG"/>
    <tableColumn id="7" xr3:uid="{9823C346-EF24-BC4A-993E-E31CFD9B515E}" name="CAO CM"/>
    <tableColumn id="8" xr3:uid="{17DA95AA-96A6-E04D-BA49-D86BAC55B9BF}" name="BMI">
      <calculatedColumnFormula>F2/((G2/100)*(G2/100))</calculatedColumnFormula>
    </tableColumn>
    <tableColumn id="9" xr3:uid="{3F861F77-023E-6743-B964-9A20B319392E}" name="VÒNG EO &gt;=90 M, 80 F"/>
    <tableColumn id="10" xr3:uid="{E3728026-12C4-C041-A5E0-F03485FC4CC2}" name="GLUCOSE &gt;100 MG/DL"/>
    <tableColumn id="11" xr3:uid="{2D10CA62-8D70-0341-A84B-5EDB8383EF31}" name="HBA1C &gt;= 5.7%"/>
    <tableColumn id="12" xr3:uid="{49E79859-2165-724D-870C-A49E82876B15}" name="ĐTĐ2"/>
    <tableColumn id="13" xr3:uid="{F754FCB5-D5D4-1F40-99F9-DC21C26FA5F7}" name="HA&gt;=130/85"/>
    <tableColumn id="14" xr3:uid="{8F81338E-B39B-4F40-A4A4-E5DA2605D797}" name="THA"/>
    <tableColumn id="15" xr3:uid="{B4AB220C-7DCF-634E-8144-DA4CCA9C959C}" name="TRIGLYCERIDE &gt;=150.5MG/DL"/>
    <tableColumn id="16" xr3:uid="{EDF59067-4C11-3443-916C-0B92DBC548C8}" name="THUỐC LIPID"/>
    <tableColumn id="17" xr3:uid="{3327CF15-4C24-D94E-904C-8815F859FFC8}" name="HDL &lt;=40 M, 50 F"/>
    <tableColumn id="18" xr3:uid="{194562C8-6B62-BC47-8E8B-9D9732C3C723}" name="GGT"/>
    <tableColumn id="19" xr3:uid="{A2BC6A42-FF18-A843-AA86-9A25FD938FBC}" name="CAP"/>
    <tableColumn id="20" xr3:uid="{E761430E-DA1C-C141-BA73-AFBFB91A17AD}" name="FIBRO"/>
    <tableColumn id="21" xr3:uid="{6B2B4ECC-375F-E040-8622-A1D9F20EAEE6}" name="MASH"/>
    <tableColumn id="22" xr3:uid="{1E00A921-CE3D-614F-947D-5C284EB8014F}" name="RƯỢU"/>
    <tableColumn id="23" xr3:uid="{143AD37E-147D-A14B-BE85-3EA7ACC5C85E}" name="TyG-WC INDEX"/>
    <tableColumn id="24" xr3:uid="{43C6980A-28EE-3843-AA65-2BD125B473C1}" name="FLI 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825B-6D58-284E-B948-6C791D50DDAE}">
  <dimension ref="A1:X524"/>
  <sheetViews>
    <sheetView tabSelected="1" workbookViewId="0">
      <selection activeCell="D7" sqref="D7"/>
    </sheetView>
  </sheetViews>
  <sheetFormatPr defaultColWidth="11.5546875" defaultRowHeight="15" x14ac:dyDescent="0.2"/>
  <cols>
    <col min="1" max="1" width="15.44140625" customWidth="1"/>
    <col min="2" max="2" width="26.77734375" customWidth="1"/>
    <col min="3" max="3" width="12.33203125" customWidth="1"/>
    <col min="4" max="5" width="7.77734375" customWidth="1"/>
    <col min="6" max="6" width="10" customWidth="1"/>
    <col min="7" max="7" width="10.109375" customWidth="1"/>
    <col min="8" max="8" width="7.44140625" customWidth="1"/>
    <col min="9" max="9" width="22.6640625" customWidth="1"/>
    <col min="10" max="10" width="22.33203125" customWidth="1"/>
    <col min="11" max="11" width="16.109375" customWidth="1"/>
    <col min="12" max="12" width="8.109375" customWidth="1"/>
    <col min="13" max="13" width="13.77734375" customWidth="1"/>
    <col min="14" max="14" width="7" customWidth="1"/>
    <col min="15" max="15" width="28.33203125" customWidth="1"/>
    <col min="16" max="16" width="14.109375" customWidth="1"/>
    <col min="17" max="17" width="18.109375" customWidth="1"/>
    <col min="23" max="23" width="16.109375" customWidth="1"/>
    <col min="24" max="24" width="11.6640625" customWidth="1"/>
  </cols>
  <sheetData>
    <row r="1" spans="1:24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19</v>
      </c>
      <c r="G1" t="s">
        <v>20</v>
      </c>
      <c r="H1" t="s">
        <v>5</v>
      </c>
      <c r="I1" t="s">
        <v>12</v>
      </c>
      <c r="J1" t="s">
        <v>8</v>
      </c>
      <c r="K1" t="s">
        <v>10</v>
      </c>
      <c r="L1" t="s">
        <v>6</v>
      </c>
      <c r="M1" t="s">
        <v>25</v>
      </c>
      <c r="N1" t="s">
        <v>7</v>
      </c>
      <c r="O1" t="s">
        <v>9</v>
      </c>
      <c r="P1" t="s">
        <v>11</v>
      </c>
      <c r="Q1" t="s">
        <v>13</v>
      </c>
      <c r="R1" t="s">
        <v>14</v>
      </c>
      <c r="S1" t="s">
        <v>15</v>
      </c>
      <c r="T1" t="s">
        <v>921</v>
      </c>
      <c r="U1" t="s">
        <v>924</v>
      </c>
      <c r="V1" t="s">
        <v>744</v>
      </c>
      <c r="W1" t="s">
        <v>914</v>
      </c>
      <c r="X1" t="s">
        <v>915</v>
      </c>
    </row>
    <row r="2" spans="1:24" x14ac:dyDescent="0.2">
      <c r="A2" t="s">
        <v>16</v>
      </c>
      <c r="B2" s="1" t="s">
        <v>1059</v>
      </c>
      <c r="C2" s="1">
        <v>1986</v>
      </c>
      <c r="D2" s="1">
        <v>1</v>
      </c>
      <c r="E2">
        <v>1</v>
      </c>
      <c r="F2">
        <v>63</v>
      </c>
      <c r="G2">
        <v>156</v>
      </c>
      <c r="H2">
        <f>F2/((G2/100)*(G2/100))</f>
        <v>25.88757396449704</v>
      </c>
      <c r="I2">
        <v>93</v>
      </c>
      <c r="J2">
        <v>99</v>
      </c>
      <c r="K2">
        <v>5.49</v>
      </c>
      <c r="L2">
        <v>0</v>
      </c>
      <c r="M2">
        <v>0</v>
      </c>
      <c r="N2">
        <v>0</v>
      </c>
      <c r="O2">
        <v>213</v>
      </c>
      <c r="P2">
        <v>0</v>
      </c>
      <c r="Q2">
        <v>45</v>
      </c>
      <c r="R2">
        <v>61</v>
      </c>
      <c r="S2">
        <v>375</v>
      </c>
      <c r="T2">
        <v>9.6999999999999993</v>
      </c>
      <c r="U2">
        <v>8.6999999999999993</v>
      </c>
      <c r="V2">
        <v>0</v>
      </c>
      <c r="W2">
        <f>LN(O2*J2/2)*I2</f>
        <v>861.48362968141839</v>
      </c>
      <c r="X2">
        <f>100*EXP(0.953*LN(O2)+0.139*H2+0.718*LN(R2)+0.053*I2-15.745)/(1+EXP(0.953*LN(O2)+0.139*H2+0.718*LN(R2)+0.053*I2-15.745))</f>
        <v>69.915802220383256</v>
      </c>
    </row>
    <row r="3" spans="1:24" x14ac:dyDescent="0.2">
      <c r="A3" t="s">
        <v>17</v>
      </c>
      <c r="B3" t="s">
        <v>18</v>
      </c>
      <c r="C3">
        <v>1986</v>
      </c>
      <c r="D3">
        <v>0</v>
      </c>
      <c r="E3">
        <v>1</v>
      </c>
      <c r="F3">
        <v>49</v>
      </c>
      <c r="G3">
        <v>150</v>
      </c>
      <c r="H3">
        <f t="shared" ref="H3:H67" si="0">F3/((G3/100)*(G3/100))</f>
        <v>21.777777777777779</v>
      </c>
      <c r="I3">
        <v>73</v>
      </c>
      <c r="J3">
        <v>92</v>
      </c>
      <c r="K3">
        <v>4.8600000000000003</v>
      </c>
      <c r="L3">
        <v>0</v>
      </c>
      <c r="M3">
        <v>0</v>
      </c>
      <c r="N3">
        <v>0</v>
      </c>
      <c r="O3">
        <v>99</v>
      </c>
      <c r="P3">
        <v>0</v>
      </c>
      <c r="Q3">
        <v>48</v>
      </c>
      <c r="R3">
        <v>20</v>
      </c>
      <c r="S3">
        <v>254</v>
      </c>
      <c r="T3">
        <v>5.0999999999999996</v>
      </c>
      <c r="U3">
        <v>5.2</v>
      </c>
      <c r="V3">
        <v>0</v>
      </c>
      <c r="W3">
        <f>LN(O3*J3/2)*I3</f>
        <v>614.93457100352907</v>
      </c>
      <c r="X3">
        <f t="shared" ref="X3:X68" si="1">100*EXP(0.953*LN(O3)+0.139*H3+0.718*LN(R3)+0.053*I3-15.745)/(1+EXP(0.953*LN(O3)+0.139*H3+0.718*LN(R3)+0.053*I3-15.745))</f>
        <v>8.9577557560755192</v>
      </c>
    </row>
    <row r="4" spans="1:24" x14ac:dyDescent="0.2">
      <c r="A4" t="s">
        <v>21</v>
      </c>
      <c r="B4" t="s">
        <v>23</v>
      </c>
      <c r="C4">
        <v>1967</v>
      </c>
      <c r="D4">
        <v>1</v>
      </c>
      <c r="E4">
        <v>1</v>
      </c>
      <c r="F4">
        <v>67</v>
      </c>
      <c r="G4">
        <v>160</v>
      </c>
      <c r="H4">
        <f t="shared" si="0"/>
        <v>26.171874999999996</v>
      </c>
      <c r="I4">
        <v>90</v>
      </c>
      <c r="J4">
        <v>72</v>
      </c>
      <c r="K4">
        <v>5.62</v>
      </c>
      <c r="L4">
        <v>0</v>
      </c>
      <c r="M4">
        <v>1</v>
      </c>
      <c r="N4">
        <v>1</v>
      </c>
      <c r="O4">
        <v>882</v>
      </c>
      <c r="P4">
        <v>1</v>
      </c>
      <c r="Q4">
        <v>34</v>
      </c>
      <c r="R4">
        <v>23</v>
      </c>
      <c r="S4">
        <v>279</v>
      </c>
      <c r="T4">
        <v>4.2</v>
      </c>
      <c r="U4">
        <v>5.5</v>
      </c>
      <c r="V4">
        <v>0</v>
      </c>
      <c r="W4">
        <f t="shared" ref="W4:W16" si="2">LN(O4*J4/2)*I4</f>
        <v>932.91398950166115</v>
      </c>
      <c r="X4">
        <f t="shared" si="1"/>
        <v>79.860599711199228</v>
      </c>
    </row>
    <row r="5" spans="1:24" x14ac:dyDescent="0.2">
      <c r="A5" t="s">
        <v>22</v>
      </c>
      <c r="B5" t="s">
        <v>24</v>
      </c>
      <c r="C5">
        <v>1967</v>
      </c>
      <c r="D5">
        <v>1</v>
      </c>
      <c r="E5">
        <v>1</v>
      </c>
      <c r="F5">
        <v>66</v>
      </c>
      <c r="G5">
        <v>168</v>
      </c>
      <c r="H5">
        <f t="shared" si="0"/>
        <v>23.384353741496604</v>
      </c>
      <c r="I5">
        <v>95</v>
      </c>
      <c r="J5">
        <v>86</v>
      </c>
      <c r="K5">
        <v>5.26</v>
      </c>
      <c r="L5">
        <v>0</v>
      </c>
      <c r="M5">
        <v>1</v>
      </c>
      <c r="N5">
        <v>0</v>
      </c>
      <c r="O5">
        <v>83</v>
      </c>
      <c r="P5">
        <v>0</v>
      </c>
      <c r="Q5">
        <v>45</v>
      </c>
      <c r="R5">
        <v>52</v>
      </c>
      <c r="S5">
        <v>368</v>
      </c>
      <c r="T5">
        <v>10.5</v>
      </c>
      <c r="U5">
        <v>8.3000000000000007</v>
      </c>
      <c r="V5">
        <v>0</v>
      </c>
      <c r="W5">
        <f t="shared" si="2"/>
        <v>777.10386873156517</v>
      </c>
      <c r="X5">
        <f t="shared" si="1"/>
        <v>39.857006487338559</v>
      </c>
    </row>
    <row r="6" spans="1:24" x14ac:dyDescent="0.2">
      <c r="A6" t="s">
        <v>26</v>
      </c>
      <c r="B6" t="s">
        <v>27</v>
      </c>
      <c r="C6">
        <v>1984</v>
      </c>
      <c r="D6">
        <v>0</v>
      </c>
      <c r="E6">
        <v>1</v>
      </c>
      <c r="F6">
        <v>67</v>
      </c>
      <c r="G6">
        <v>157</v>
      </c>
      <c r="H6">
        <f t="shared" si="0"/>
        <v>27.181630086413239</v>
      </c>
      <c r="I6">
        <v>86</v>
      </c>
      <c r="J6">
        <v>108</v>
      </c>
      <c r="K6">
        <v>5.28</v>
      </c>
      <c r="L6">
        <v>0</v>
      </c>
      <c r="M6">
        <v>1</v>
      </c>
      <c r="N6">
        <v>0</v>
      </c>
      <c r="O6">
        <v>135</v>
      </c>
      <c r="P6">
        <v>0</v>
      </c>
      <c r="Q6">
        <v>49</v>
      </c>
      <c r="R6">
        <v>34</v>
      </c>
      <c r="S6">
        <v>296</v>
      </c>
      <c r="T6">
        <v>4.4000000000000004</v>
      </c>
      <c r="U6">
        <v>6.1</v>
      </c>
      <c r="V6">
        <v>0</v>
      </c>
      <c r="W6">
        <f t="shared" si="2"/>
        <v>764.90625895023243</v>
      </c>
      <c r="X6">
        <f t="shared" si="1"/>
        <v>44.964634733365493</v>
      </c>
    </row>
    <row r="7" spans="1:24" x14ac:dyDescent="0.2">
      <c r="A7" t="s">
        <v>28</v>
      </c>
      <c r="B7" t="s">
        <v>29</v>
      </c>
      <c r="C7">
        <v>1978</v>
      </c>
      <c r="D7">
        <v>0</v>
      </c>
      <c r="E7">
        <v>1</v>
      </c>
      <c r="F7">
        <v>62</v>
      </c>
      <c r="G7">
        <v>154</v>
      </c>
      <c r="H7">
        <f t="shared" si="0"/>
        <v>26.14268848035082</v>
      </c>
      <c r="I7">
        <v>91</v>
      </c>
      <c r="J7">
        <v>94</v>
      </c>
      <c r="K7">
        <v>5.74</v>
      </c>
      <c r="L7">
        <v>0</v>
      </c>
      <c r="M7">
        <v>0</v>
      </c>
      <c r="N7">
        <v>0</v>
      </c>
      <c r="O7">
        <v>129</v>
      </c>
      <c r="P7">
        <v>0</v>
      </c>
      <c r="Q7">
        <v>63</v>
      </c>
      <c r="R7">
        <v>16</v>
      </c>
      <c r="S7">
        <v>240</v>
      </c>
      <c r="T7">
        <v>6.5</v>
      </c>
      <c r="U7">
        <v>4.8</v>
      </c>
      <c r="V7">
        <v>0</v>
      </c>
      <c r="W7">
        <f t="shared" si="2"/>
        <v>792.60636055252746</v>
      </c>
      <c r="X7">
        <f t="shared" si="1"/>
        <v>33.938268753976949</v>
      </c>
    </row>
    <row r="8" spans="1:24" x14ac:dyDescent="0.2">
      <c r="A8" t="s">
        <v>30</v>
      </c>
      <c r="B8" t="s">
        <v>31</v>
      </c>
      <c r="C8">
        <v>1976</v>
      </c>
      <c r="D8">
        <v>1</v>
      </c>
      <c r="E8">
        <v>1</v>
      </c>
      <c r="F8">
        <v>80</v>
      </c>
      <c r="G8">
        <v>175</v>
      </c>
      <c r="H8">
        <f t="shared" si="0"/>
        <v>26.122448979591837</v>
      </c>
      <c r="I8">
        <v>98</v>
      </c>
      <c r="J8">
        <v>110</v>
      </c>
      <c r="K8">
        <v>5.82</v>
      </c>
      <c r="L8">
        <v>0</v>
      </c>
      <c r="M8">
        <v>0</v>
      </c>
      <c r="N8">
        <v>0</v>
      </c>
      <c r="O8">
        <v>187</v>
      </c>
      <c r="P8">
        <v>0</v>
      </c>
      <c r="Q8">
        <v>49</v>
      </c>
      <c r="R8">
        <v>61</v>
      </c>
      <c r="S8">
        <v>246</v>
      </c>
      <c r="T8">
        <v>10.6</v>
      </c>
      <c r="U8">
        <v>4.8</v>
      </c>
      <c r="V8">
        <v>0</v>
      </c>
      <c r="W8">
        <f t="shared" si="2"/>
        <v>905.3672966045317</v>
      </c>
      <c r="X8">
        <f t="shared" si="1"/>
        <v>73.436331462641661</v>
      </c>
    </row>
    <row r="9" spans="1:24" x14ac:dyDescent="0.2">
      <c r="A9" t="s">
        <v>139</v>
      </c>
      <c r="B9" t="s">
        <v>140</v>
      </c>
      <c r="C9">
        <v>1998</v>
      </c>
      <c r="D9">
        <v>1</v>
      </c>
      <c r="E9">
        <v>1</v>
      </c>
      <c r="F9">
        <v>104</v>
      </c>
      <c r="G9">
        <v>175</v>
      </c>
      <c r="H9">
        <f t="shared" si="0"/>
        <v>33.95918367346939</v>
      </c>
      <c r="I9">
        <v>123</v>
      </c>
      <c r="J9">
        <v>88</v>
      </c>
      <c r="K9">
        <v>5.22</v>
      </c>
      <c r="L9">
        <v>0</v>
      </c>
      <c r="M9">
        <v>0</v>
      </c>
      <c r="N9">
        <v>0</v>
      </c>
      <c r="O9">
        <v>141</v>
      </c>
      <c r="P9">
        <v>0</v>
      </c>
      <c r="Q9">
        <v>31</v>
      </c>
      <c r="R9">
        <v>39</v>
      </c>
      <c r="S9">
        <v>267</v>
      </c>
      <c r="T9">
        <v>9.9</v>
      </c>
      <c r="U9">
        <v>5.3</v>
      </c>
      <c r="V9">
        <v>0</v>
      </c>
      <c r="W9">
        <f t="shared" si="2"/>
        <v>1074.1527914884609</v>
      </c>
      <c r="X9">
        <f t="shared" si="1"/>
        <v>94.484804741210908</v>
      </c>
    </row>
    <row r="10" spans="1:24" x14ac:dyDescent="0.2">
      <c r="A10" t="s">
        <v>32</v>
      </c>
      <c r="B10" t="s">
        <v>33</v>
      </c>
      <c r="C10">
        <v>1985</v>
      </c>
      <c r="D10">
        <v>0</v>
      </c>
      <c r="E10">
        <v>1</v>
      </c>
      <c r="F10">
        <v>58</v>
      </c>
      <c r="G10">
        <v>167</v>
      </c>
      <c r="H10">
        <f t="shared" si="0"/>
        <v>20.796729893506402</v>
      </c>
      <c r="I10">
        <v>83</v>
      </c>
      <c r="J10">
        <v>83</v>
      </c>
      <c r="K10">
        <v>5.63</v>
      </c>
      <c r="L10">
        <v>0</v>
      </c>
      <c r="M10">
        <v>0</v>
      </c>
      <c r="N10">
        <v>0</v>
      </c>
      <c r="O10">
        <v>50</v>
      </c>
      <c r="P10">
        <v>0</v>
      </c>
      <c r="Q10">
        <v>57</v>
      </c>
      <c r="R10">
        <v>23</v>
      </c>
      <c r="S10">
        <v>259</v>
      </c>
      <c r="T10">
        <v>4.5999999999999996</v>
      </c>
      <c r="U10">
        <v>5.3</v>
      </c>
      <c r="V10">
        <v>0</v>
      </c>
      <c r="W10">
        <f t="shared" si="2"/>
        <v>633.93046391117832</v>
      </c>
      <c r="X10">
        <f t="shared" si="1"/>
        <v>7.7571356952963511</v>
      </c>
    </row>
    <row r="11" spans="1:24" x14ac:dyDescent="0.2">
      <c r="A11" t="s">
        <v>34</v>
      </c>
      <c r="B11" t="s">
        <v>35</v>
      </c>
      <c r="C11">
        <v>1989</v>
      </c>
      <c r="D11">
        <v>0</v>
      </c>
      <c r="E11">
        <v>1</v>
      </c>
      <c r="F11">
        <v>53</v>
      </c>
      <c r="G11">
        <v>153</v>
      </c>
      <c r="H11">
        <f t="shared" si="0"/>
        <v>22.64086462471699</v>
      </c>
      <c r="I11">
        <v>72</v>
      </c>
      <c r="J11">
        <v>94</v>
      </c>
      <c r="K11">
        <v>5.42</v>
      </c>
      <c r="L11">
        <v>0</v>
      </c>
      <c r="M11">
        <v>0</v>
      </c>
      <c r="N11">
        <v>0</v>
      </c>
      <c r="O11">
        <v>532</v>
      </c>
      <c r="P11">
        <v>0</v>
      </c>
      <c r="Q11">
        <v>33</v>
      </c>
      <c r="R11">
        <v>28</v>
      </c>
      <c r="S11">
        <v>333</v>
      </c>
      <c r="T11">
        <v>4.3</v>
      </c>
      <c r="U11">
        <v>7.2</v>
      </c>
      <c r="V11">
        <v>0</v>
      </c>
      <c r="W11">
        <f t="shared" si="2"/>
        <v>729.12895855572265</v>
      </c>
      <c r="X11">
        <f t="shared" si="1"/>
        <v>39.94503760407126</v>
      </c>
    </row>
    <row r="12" spans="1:24" x14ac:dyDescent="0.2">
      <c r="A12" t="s">
        <v>36</v>
      </c>
      <c r="B12" t="s">
        <v>37</v>
      </c>
      <c r="C12">
        <v>1984</v>
      </c>
      <c r="D12">
        <v>0</v>
      </c>
      <c r="E12">
        <v>1</v>
      </c>
      <c r="F12">
        <v>54</v>
      </c>
      <c r="G12">
        <v>157</v>
      </c>
      <c r="H12">
        <f t="shared" si="0"/>
        <v>21.907582457706194</v>
      </c>
      <c r="I12">
        <v>72</v>
      </c>
      <c r="J12">
        <v>90</v>
      </c>
      <c r="K12">
        <v>5.77</v>
      </c>
      <c r="L12">
        <v>0</v>
      </c>
      <c r="M12">
        <v>0</v>
      </c>
      <c r="N12">
        <v>0</v>
      </c>
      <c r="O12">
        <v>96</v>
      </c>
      <c r="P12">
        <v>0</v>
      </c>
      <c r="Q12">
        <v>64</v>
      </c>
      <c r="R12">
        <v>26</v>
      </c>
      <c r="S12">
        <v>242</v>
      </c>
      <c r="T12">
        <v>4.3</v>
      </c>
      <c r="U12">
        <v>4.9000000000000004</v>
      </c>
      <c r="V12">
        <v>0</v>
      </c>
      <c r="W12">
        <f t="shared" si="2"/>
        <v>602.71276904914725</v>
      </c>
      <c r="X12">
        <f t="shared" si="1"/>
        <v>10.022663911635432</v>
      </c>
    </row>
    <row r="13" spans="1:24" x14ac:dyDescent="0.2">
      <c r="A13" t="s">
        <v>38</v>
      </c>
      <c r="B13" t="s">
        <v>39</v>
      </c>
      <c r="C13">
        <v>1995</v>
      </c>
      <c r="D13">
        <v>1</v>
      </c>
      <c r="E13">
        <v>1</v>
      </c>
      <c r="F13">
        <v>69</v>
      </c>
      <c r="G13">
        <v>171</v>
      </c>
      <c r="H13">
        <f t="shared" si="0"/>
        <v>23.59700420642249</v>
      </c>
      <c r="I13">
        <v>91</v>
      </c>
      <c r="J13">
        <v>94</v>
      </c>
      <c r="K13">
        <v>5.82</v>
      </c>
      <c r="L13">
        <v>0</v>
      </c>
      <c r="M13">
        <v>1</v>
      </c>
      <c r="N13">
        <v>0</v>
      </c>
      <c r="O13">
        <v>236</v>
      </c>
      <c r="P13">
        <v>0</v>
      </c>
      <c r="Q13">
        <v>47</v>
      </c>
      <c r="R13">
        <v>72</v>
      </c>
      <c r="S13">
        <v>258</v>
      </c>
      <c r="T13">
        <v>6.1</v>
      </c>
      <c r="U13">
        <v>5</v>
      </c>
      <c r="V13">
        <v>0</v>
      </c>
      <c r="W13">
        <f t="shared" si="2"/>
        <v>847.57212601294589</v>
      </c>
      <c r="X13">
        <f t="shared" si="1"/>
        <v>65.37720948631916</v>
      </c>
    </row>
    <row r="14" spans="1:24" hidden="1" x14ac:dyDescent="0.2">
      <c r="A14" t="s">
        <v>40</v>
      </c>
      <c r="B14" t="s">
        <v>41</v>
      </c>
      <c r="C14">
        <v>1996</v>
      </c>
      <c r="D14">
        <v>1</v>
      </c>
      <c r="E14">
        <v>1</v>
      </c>
      <c r="F14">
        <v>68</v>
      </c>
      <c r="G14">
        <v>170</v>
      </c>
      <c r="H14">
        <f t="shared" si="0"/>
        <v>23.529411764705884</v>
      </c>
      <c r="I14">
        <v>89</v>
      </c>
      <c r="J14">
        <v>90</v>
      </c>
      <c r="K14">
        <v>5.14</v>
      </c>
      <c r="L14">
        <v>0</v>
      </c>
      <c r="M14">
        <v>0</v>
      </c>
      <c r="N14">
        <f>-N140</f>
        <v>0</v>
      </c>
      <c r="O14">
        <v>91</v>
      </c>
      <c r="P14">
        <v>0</v>
      </c>
      <c r="Q14">
        <v>45</v>
      </c>
      <c r="R14">
        <v>88</v>
      </c>
      <c r="S14">
        <v>321</v>
      </c>
      <c r="T14">
        <v>6.6</v>
      </c>
      <c r="U14">
        <v>6.8</v>
      </c>
      <c r="V14">
        <v>1</v>
      </c>
      <c r="W14">
        <f t="shared" si="2"/>
        <v>740.25945766955806</v>
      </c>
      <c r="X14">
        <f t="shared" si="1"/>
        <v>43.934153659668738</v>
      </c>
    </row>
    <row r="15" spans="1:24" hidden="1" x14ac:dyDescent="0.2">
      <c r="A15" t="s">
        <v>42</v>
      </c>
      <c r="B15" t="s">
        <v>43</v>
      </c>
      <c r="C15">
        <v>1986</v>
      </c>
      <c r="D15">
        <v>1</v>
      </c>
      <c r="E15">
        <v>1</v>
      </c>
      <c r="F15">
        <v>95</v>
      </c>
      <c r="G15">
        <v>175</v>
      </c>
      <c r="H15">
        <f t="shared" si="0"/>
        <v>31.020408163265305</v>
      </c>
      <c r="I15">
        <v>99</v>
      </c>
      <c r="J15">
        <v>92</v>
      </c>
      <c r="K15">
        <v>5.62</v>
      </c>
      <c r="L15">
        <v>0</v>
      </c>
      <c r="M15">
        <v>1</v>
      </c>
      <c r="N15">
        <v>0</v>
      </c>
      <c r="O15">
        <v>134</v>
      </c>
      <c r="P15">
        <v>0</v>
      </c>
      <c r="Q15">
        <v>54</v>
      </c>
      <c r="R15">
        <v>121</v>
      </c>
      <c r="S15">
        <v>298</v>
      </c>
      <c r="T15">
        <v>6.2</v>
      </c>
      <c r="U15">
        <v>6</v>
      </c>
      <c r="V15">
        <v>1</v>
      </c>
      <c r="W15">
        <f t="shared" si="2"/>
        <v>863.92163844756067</v>
      </c>
      <c r="X15">
        <f t="shared" si="1"/>
        <v>87.267892686340929</v>
      </c>
    </row>
    <row r="16" spans="1:24" x14ac:dyDescent="0.2">
      <c r="A16" t="s">
        <v>44</v>
      </c>
      <c r="B16" t="s">
        <v>46</v>
      </c>
      <c r="C16">
        <v>1988</v>
      </c>
      <c r="D16">
        <v>1</v>
      </c>
      <c r="E16">
        <v>1</v>
      </c>
      <c r="F16">
        <v>76</v>
      </c>
      <c r="G16">
        <v>178</v>
      </c>
      <c r="H16">
        <f t="shared" si="0"/>
        <v>23.98687034465345</v>
      </c>
      <c r="I16">
        <v>87</v>
      </c>
      <c r="J16">
        <v>96</v>
      </c>
      <c r="K16">
        <v>5.23</v>
      </c>
      <c r="L16">
        <v>0</v>
      </c>
      <c r="M16">
        <v>1</v>
      </c>
      <c r="N16">
        <v>0</v>
      </c>
      <c r="O16">
        <v>141</v>
      </c>
      <c r="P16">
        <v>0</v>
      </c>
      <c r="Q16">
        <v>48</v>
      </c>
      <c r="R16">
        <v>20</v>
      </c>
      <c r="S16">
        <v>198</v>
      </c>
      <c r="T16">
        <v>5.5</v>
      </c>
      <c r="U16">
        <v>4.4000000000000004</v>
      </c>
      <c r="V16">
        <v>0</v>
      </c>
      <c r="W16">
        <f t="shared" si="2"/>
        <v>767.33659841188717</v>
      </c>
      <c r="X16">
        <f t="shared" si="1"/>
        <v>28.237299378319818</v>
      </c>
    </row>
    <row r="17" spans="1:24" x14ac:dyDescent="0.2">
      <c r="A17" t="s">
        <v>45</v>
      </c>
      <c r="B17" t="s">
        <v>47</v>
      </c>
      <c r="C17">
        <v>1986</v>
      </c>
      <c r="D17">
        <v>0</v>
      </c>
      <c r="E17">
        <v>1</v>
      </c>
      <c r="F17">
        <v>56</v>
      </c>
      <c r="G17">
        <v>149</v>
      </c>
      <c r="H17">
        <f t="shared" si="0"/>
        <v>25.224089004999776</v>
      </c>
      <c r="I17">
        <v>84</v>
      </c>
      <c r="J17">
        <v>86</v>
      </c>
      <c r="K17">
        <v>4.92</v>
      </c>
      <c r="L17">
        <v>0</v>
      </c>
      <c r="M17">
        <v>0</v>
      </c>
      <c r="N17">
        <v>0</v>
      </c>
      <c r="O17">
        <v>114</v>
      </c>
      <c r="P17">
        <v>0</v>
      </c>
      <c r="Q17">
        <v>41</v>
      </c>
      <c r="R17">
        <v>19</v>
      </c>
      <c r="S17">
        <v>260</v>
      </c>
      <c r="T17">
        <v>6.2</v>
      </c>
      <c r="U17">
        <v>5.2</v>
      </c>
      <c r="V17">
        <v>0</v>
      </c>
      <c r="W17">
        <f>LN(O17*J17/2)*I17</f>
        <v>713.78147938339691</v>
      </c>
      <c r="X17">
        <f t="shared" si="1"/>
        <v>23.882225609092018</v>
      </c>
    </row>
    <row r="18" spans="1:24" x14ac:dyDescent="0.2">
      <c r="A18" t="s">
        <v>48</v>
      </c>
      <c r="B18" t="s">
        <v>49</v>
      </c>
      <c r="C18">
        <v>1990</v>
      </c>
      <c r="D18">
        <v>1</v>
      </c>
      <c r="E18">
        <v>1</v>
      </c>
      <c r="F18">
        <v>75</v>
      </c>
      <c r="G18">
        <v>170</v>
      </c>
      <c r="H18">
        <f t="shared" si="0"/>
        <v>25.95155709342561</v>
      </c>
      <c r="I18">
        <v>89</v>
      </c>
      <c r="J18">
        <v>96</v>
      </c>
      <c r="K18">
        <v>5.32</v>
      </c>
      <c r="L18">
        <v>0</v>
      </c>
      <c r="M18">
        <v>1</v>
      </c>
      <c r="N18">
        <v>0</v>
      </c>
      <c r="O18">
        <v>88</v>
      </c>
      <c r="P18">
        <v>0</v>
      </c>
      <c r="Q18">
        <v>37</v>
      </c>
      <c r="R18">
        <v>39</v>
      </c>
      <c r="S18">
        <v>265</v>
      </c>
      <c r="T18">
        <v>5.9</v>
      </c>
      <c r="U18">
        <v>5.3</v>
      </c>
      <c r="V18">
        <v>0</v>
      </c>
      <c r="W18">
        <f>LN(O18*J18/2)*I18</f>
        <v>743.01986645936267</v>
      </c>
      <c r="X18">
        <f t="shared" si="1"/>
        <v>37.205887179900969</v>
      </c>
    </row>
    <row r="19" spans="1:24" x14ac:dyDescent="0.2">
      <c r="A19" t="s">
        <v>50</v>
      </c>
      <c r="B19" t="s">
        <v>51</v>
      </c>
      <c r="C19">
        <v>1985</v>
      </c>
      <c r="D19">
        <v>1</v>
      </c>
      <c r="E19">
        <v>1</v>
      </c>
      <c r="F19">
        <v>81</v>
      </c>
      <c r="G19">
        <v>176</v>
      </c>
      <c r="H19">
        <f t="shared" si="0"/>
        <v>26.149276859504134</v>
      </c>
      <c r="I19">
        <v>94</v>
      </c>
      <c r="J19">
        <v>112</v>
      </c>
      <c r="K19">
        <v>5.62</v>
      </c>
      <c r="L19">
        <v>0</v>
      </c>
      <c r="M19">
        <v>1</v>
      </c>
      <c r="N19">
        <v>0</v>
      </c>
      <c r="O19">
        <v>114</v>
      </c>
      <c r="P19">
        <v>0</v>
      </c>
      <c r="Q19">
        <v>48</v>
      </c>
      <c r="R19">
        <v>15</v>
      </c>
      <c r="S19">
        <v>270</v>
      </c>
      <c r="T19">
        <v>6.9</v>
      </c>
      <c r="U19">
        <v>5.3</v>
      </c>
      <c r="V19">
        <v>0</v>
      </c>
      <c r="W19">
        <f t="shared" ref="W19:W28" si="3">LN(O19*J19/2)*I19</f>
        <v>823.58571307818659</v>
      </c>
      <c r="X19">
        <f t="shared" si="1"/>
        <v>33.843563567835453</v>
      </c>
    </row>
    <row r="20" spans="1:24" x14ac:dyDescent="0.2">
      <c r="A20" t="s">
        <v>52</v>
      </c>
      <c r="B20" t="s">
        <v>53</v>
      </c>
      <c r="C20">
        <v>1988</v>
      </c>
      <c r="D20">
        <v>0</v>
      </c>
      <c r="E20">
        <v>1</v>
      </c>
      <c r="F20">
        <v>75</v>
      </c>
      <c r="G20">
        <v>167</v>
      </c>
      <c r="H20">
        <f t="shared" si="0"/>
        <v>26.892323138154829</v>
      </c>
      <c r="I20">
        <v>104</v>
      </c>
      <c r="J20">
        <v>94</v>
      </c>
      <c r="K20">
        <v>6.12</v>
      </c>
      <c r="L20">
        <v>0</v>
      </c>
      <c r="M20">
        <v>0</v>
      </c>
      <c r="N20">
        <v>0</v>
      </c>
      <c r="O20">
        <v>163</v>
      </c>
      <c r="P20">
        <v>0</v>
      </c>
      <c r="Q20">
        <v>47</v>
      </c>
      <c r="R20">
        <v>52</v>
      </c>
      <c r="S20">
        <v>321</v>
      </c>
      <c r="T20">
        <v>6.2</v>
      </c>
      <c r="U20">
        <v>6.8</v>
      </c>
      <c r="V20">
        <v>0</v>
      </c>
      <c r="W20">
        <f t="shared" si="3"/>
        <v>930.16537146174937</v>
      </c>
      <c r="X20">
        <f t="shared" si="1"/>
        <v>76.787837014827119</v>
      </c>
    </row>
    <row r="21" spans="1:24" x14ac:dyDescent="0.2">
      <c r="A21" t="s">
        <v>54</v>
      </c>
      <c r="B21" t="s">
        <v>55</v>
      </c>
      <c r="C21">
        <v>1964</v>
      </c>
      <c r="D21">
        <v>1</v>
      </c>
      <c r="E21">
        <v>1</v>
      </c>
      <c r="F21">
        <v>69</v>
      </c>
      <c r="G21">
        <v>162</v>
      </c>
      <c r="H21">
        <f t="shared" si="0"/>
        <v>26.291723822588015</v>
      </c>
      <c r="I21">
        <v>93</v>
      </c>
      <c r="J21">
        <v>88</v>
      </c>
      <c r="K21">
        <v>6.07</v>
      </c>
      <c r="L21">
        <v>0</v>
      </c>
      <c r="M21">
        <v>1</v>
      </c>
      <c r="N21">
        <v>1</v>
      </c>
      <c r="O21">
        <v>187</v>
      </c>
      <c r="P21">
        <v>1</v>
      </c>
      <c r="Q21">
        <v>30</v>
      </c>
      <c r="R21">
        <v>63</v>
      </c>
      <c r="S21">
        <v>294</v>
      </c>
      <c r="T21">
        <v>7.9</v>
      </c>
      <c r="U21">
        <v>5.9</v>
      </c>
      <c r="V21">
        <v>0</v>
      </c>
      <c r="W21">
        <f t="shared" si="3"/>
        <v>838.42273732187482</v>
      </c>
      <c r="X21">
        <f t="shared" si="1"/>
        <v>68.966783445487224</v>
      </c>
    </row>
    <row r="22" spans="1:24" x14ac:dyDescent="0.2">
      <c r="A22" t="s">
        <v>57</v>
      </c>
      <c r="B22" t="s">
        <v>56</v>
      </c>
      <c r="C22">
        <v>1994</v>
      </c>
      <c r="D22">
        <v>1</v>
      </c>
      <c r="E22">
        <v>1</v>
      </c>
      <c r="F22">
        <v>82</v>
      </c>
      <c r="G22">
        <v>167</v>
      </c>
      <c r="H22">
        <f t="shared" si="0"/>
        <v>29.402273297715947</v>
      </c>
      <c r="I22">
        <v>95</v>
      </c>
      <c r="J22">
        <v>86</v>
      </c>
      <c r="K22">
        <v>5.64</v>
      </c>
      <c r="L22">
        <v>0</v>
      </c>
      <c r="M22">
        <v>0</v>
      </c>
      <c r="N22">
        <v>0</v>
      </c>
      <c r="O22">
        <v>335</v>
      </c>
      <c r="P22">
        <v>0</v>
      </c>
      <c r="Q22">
        <v>38</v>
      </c>
      <c r="R22">
        <v>28</v>
      </c>
      <c r="S22">
        <v>299</v>
      </c>
      <c r="T22">
        <v>6.8</v>
      </c>
      <c r="U22">
        <v>6</v>
      </c>
      <c r="V22">
        <v>0</v>
      </c>
      <c r="W22">
        <f t="shared" si="3"/>
        <v>909.65641151426962</v>
      </c>
      <c r="X22">
        <f t="shared" si="1"/>
        <v>78.756422633440451</v>
      </c>
    </row>
    <row r="23" spans="1:24" x14ac:dyDescent="0.2">
      <c r="A23" t="s">
        <v>59</v>
      </c>
      <c r="B23" t="s">
        <v>58</v>
      </c>
      <c r="C23">
        <v>1982</v>
      </c>
      <c r="D23">
        <v>1</v>
      </c>
      <c r="E23">
        <v>1</v>
      </c>
      <c r="F23">
        <v>80</v>
      </c>
      <c r="G23">
        <v>175</v>
      </c>
      <c r="H23">
        <f t="shared" si="0"/>
        <v>26.122448979591837</v>
      </c>
      <c r="I23">
        <v>94</v>
      </c>
      <c r="J23">
        <v>90</v>
      </c>
      <c r="K23">
        <v>5.56</v>
      </c>
      <c r="L23">
        <v>0</v>
      </c>
      <c r="M23">
        <v>0</v>
      </c>
      <c r="N23">
        <v>0</v>
      </c>
      <c r="O23">
        <v>83</v>
      </c>
      <c r="P23">
        <v>0</v>
      </c>
      <c r="Q23">
        <v>72</v>
      </c>
      <c r="R23">
        <v>17</v>
      </c>
      <c r="S23">
        <v>235</v>
      </c>
      <c r="T23">
        <v>9.4</v>
      </c>
      <c r="U23">
        <v>4.7</v>
      </c>
      <c r="V23">
        <v>0</v>
      </c>
      <c r="W23">
        <f t="shared" si="3"/>
        <v>773.19729117129032</v>
      </c>
      <c r="X23">
        <f t="shared" si="1"/>
        <v>29.181665484176108</v>
      </c>
    </row>
    <row r="24" spans="1:24" x14ac:dyDescent="0.2">
      <c r="A24" t="s">
        <v>60</v>
      </c>
      <c r="B24" t="s">
        <v>61</v>
      </c>
      <c r="C24">
        <v>1970</v>
      </c>
      <c r="D24">
        <v>1</v>
      </c>
      <c r="E24">
        <v>1</v>
      </c>
      <c r="F24">
        <v>76</v>
      </c>
      <c r="G24">
        <v>153</v>
      </c>
      <c r="H24">
        <f t="shared" si="0"/>
        <v>32.466145499594177</v>
      </c>
      <c r="I24">
        <v>103</v>
      </c>
      <c r="J24">
        <v>218</v>
      </c>
      <c r="K24">
        <v>6.36</v>
      </c>
      <c r="L24">
        <v>0</v>
      </c>
      <c r="M24">
        <v>1</v>
      </c>
      <c r="N24">
        <v>1</v>
      </c>
      <c r="O24">
        <v>136</v>
      </c>
      <c r="P24">
        <v>0</v>
      </c>
      <c r="Q24">
        <v>35</v>
      </c>
      <c r="R24">
        <v>48</v>
      </c>
      <c r="S24">
        <v>317</v>
      </c>
      <c r="T24">
        <v>11.4</v>
      </c>
      <c r="U24">
        <v>6.6</v>
      </c>
      <c r="V24">
        <v>0</v>
      </c>
      <c r="W24">
        <f t="shared" si="3"/>
        <v>989.2122851004151</v>
      </c>
      <c r="X24">
        <f>100*EXP(0.953*LN(O24)+0.139*H24+0.718*LN(R24)+0.053*I24-15.745)/(1+EXP(0.953*LN(O24)+0.139*H24+0.718*LN(R24)+0.053*I24-15.745))</f>
        <v>84.397105398705492</v>
      </c>
    </row>
    <row r="25" spans="1:24" x14ac:dyDescent="0.2">
      <c r="A25" t="s">
        <v>62</v>
      </c>
      <c r="B25" t="s">
        <v>63</v>
      </c>
      <c r="C25">
        <v>1999</v>
      </c>
      <c r="D25">
        <v>1</v>
      </c>
      <c r="E25">
        <v>1</v>
      </c>
      <c r="F25">
        <v>102</v>
      </c>
      <c r="G25">
        <v>170</v>
      </c>
      <c r="H25">
        <f t="shared" si="0"/>
        <v>35.294117647058826</v>
      </c>
      <c r="I25">
        <v>111</v>
      </c>
      <c r="J25">
        <v>90</v>
      </c>
      <c r="K25">
        <v>6.08</v>
      </c>
      <c r="L25">
        <v>0</v>
      </c>
      <c r="M25">
        <v>1</v>
      </c>
      <c r="N25">
        <v>0</v>
      </c>
      <c r="O25">
        <v>410</v>
      </c>
      <c r="P25">
        <v>0</v>
      </c>
      <c r="Q25">
        <v>38</v>
      </c>
      <c r="R25">
        <v>80</v>
      </c>
      <c r="S25">
        <v>350</v>
      </c>
      <c r="T25">
        <v>5.8</v>
      </c>
      <c r="U25">
        <v>8</v>
      </c>
      <c r="V25">
        <v>0</v>
      </c>
      <c r="W25">
        <f t="shared" si="3"/>
        <v>1090.3329810910227</v>
      </c>
      <c r="X25">
        <f t="shared" si="1"/>
        <v>98.061300193662504</v>
      </c>
    </row>
    <row r="26" spans="1:24" x14ac:dyDescent="0.2">
      <c r="A26" t="s">
        <v>64</v>
      </c>
      <c r="B26" t="s">
        <v>65</v>
      </c>
      <c r="C26">
        <v>1965</v>
      </c>
      <c r="D26">
        <v>1</v>
      </c>
      <c r="E26">
        <v>1</v>
      </c>
      <c r="F26">
        <v>66</v>
      </c>
      <c r="G26">
        <v>164</v>
      </c>
      <c r="H26">
        <f t="shared" si="0"/>
        <v>24.538964901844146</v>
      </c>
      <c r="I26">
        <v>88</v>
      </c>
      <c r="J26">
        <v>96</v>
      </c>
      <c r="K26">
        <v>5.81</v>
      </c>
      <c r="L26">
        <v>0</v>
      </c>
      <c r="M26">
        <v>1</v>
      </c>
      <c r="N26">
        <v>0</v>
      </c>
      <c r="O26">
        <v>88</v>
      </c>
      <c r="P26">
        <v>0</v>
      </c>
      <c r="Q26">
        <v>53</v>
      </c>
      <c r="R26">
        <v>60</v>
      </c>
      <c r="S26">
        <v>284</v>
      </c>
      <c r="T26">
        <v>6.2</v>
      </c>
      <c r="U26">
        <v>5.7</v>
      </c>
      <c r="V26">
        <v>0</v>
      </c>
      <c r="W26">
        <f t="shared" si="3"/>
        <v>734.6713286339766</v>
      </c>
      <c r="X26">
        <f t="shared" si="1"/>
        <v>38.616948586807666</v>
      </c>
    </row>
    <row r="27" spans="1:24" x14ac:dyDescent="0.2">
      <c r="A27" t="s">
        <v>66</v>
      </c>
      <c r="B27" t="s">
        <v>67</v>
      </c>
      <c r="C27">
        <v>1977</v>
      </c>
      <c r="D27">
        <v>1</v>
      </c>
      <c r="E27">
        <v>1</v>
      </c>
      <c r="F27">
        <v>72</v>
      </c>
      <c r="G27">
        <v>167</v>
      </c>
      <c r="H27">
        <f t="shared" si="0"/>
        <v>25.816630212628635</v>
      </c>
      <c r="I27">
        <v>91</v>
      </c>
      <c r="J27">
        <v>144</v>
      </c>
      <c r="K27">
        <v>6.84</v>
      </c>
      <c r="L27">
        <v>1</v>
      </c>
      <c r="M27">
        <v>1</v>
      </c>
      <c r="N27">
        <v>1</v>
      </c>
      <c r="O27">
        <v>190</v>
      </c>
      <c r="P27">
        <v>1</v>
      </c>
      <c r="Q27">
        <v>43</v>
      </c>
      <c r="R27">
        <v>53</v>
      </c>
      <c r="S27">
        <v>291</v>
      </c>
      <c r="T27">
        <v>7.9</v>
      </c>
      <c r="U27">
        <v>5.8</v>
      </c>
      <c r="V27">
        <v>0</v>
      </c>
      <c r="W27">
        <f t="shared" si="3"/>
        <v>866.65580739706525</v>
      </c>
      <c r="X27">
        <f t="shared" si="1"/>
        <v>62.658525654059275</v>
      </c>
    </row>
    <row r="28" spans="1:24" x14ac:dyDescent="0.2">
      <c r="A28" t="s">
        <v>68</v>
      </c>
      <c r="B28" t="s">
        <v>69</v>
      </c>
      <c r="C28">
        <v>1990</v>
      </c>
      <c r="D28">
        <v>0</v>
      </c>
      <c r="E28">
        <v>1</v>
      </c>
      <c r="F28">
        <v>51</v>
      </c>
      <c r="G28">
        <v>151</v>
      </c>
      <c r="H28">
        <f t="shared" si="0"/>
        <v>22.367440024560327</v>
      </c>
      <c r="I28">
        <v>76</v>
      </c>
      <c r="J28">
        <v>90</v>
      </c>
      <c r="K28">
        <v>5.26</v>
      </c>
      <c r="L28">
        <v>0</v>
      </c>
      <c r="M28">
        <v>0</v>
      </c>
      <c r="N28">
        <v>0</v>
      </c>
      <c r="O28">
        <v>98</v>
      </c>
      <c r="P28">
        <v>0</v>
      </c>
      <c r="Q28">
        <v>39</v>
      </c>
      <c r="R28">
        <v>20</v>
      </c>
      <c r="S28">
        <v>316</v>
      </c>
      <c r="T28">
        <v>6</v>
      </c>
      <c r="U28">
        <v>5.8</v>
      </c>
      <c r="V28">
        <v>0</v>
      </c>
      <c r="W28">
        <f t="shared" si="3"/>
        <v>637.76387760150783</v>
      </c>
      <c r="X28">
        <f t="shared" si="1"/>
        <v>11.031612875124809</v>
      </c>
    </row>
    <row r="29" spans="1:24" x14ac:dyDescent="0.2">
      <c r="A29" t="s">
        <v>70</v>
      </c>
      <c r="B29" t="s">
        <v>71</v>
      </c>
      <c r="C29">
        <v>1993</v>
      </c>
      <c r="D29">
        <v>1</v>
      </c>
      <c r="E29">
        <v>1</v>
      </c>
      <c r="F29">
        <v>75</v>
      </c>
      <c r="G29">
        <v>166</v>
      </c>
      <c r="H29">
        <f t="shared" si="0"/>
        <v>27.217302946726669</v>
      </c>
      <c r="I29">
        <v>93</v>
      </c>
      <c r="J29">
        <v>97</v>
      </c>
      <c r="K29">
        <v>5.71</v>
      </c>
      <c r="L29">
        <v>0</v>
      </c>
      <c r="M29">
        <v>0</v>
      </c>
      <c r="N29">
        <v>0</v>
      </c>
      <c r="O29">
        <v>198</v>
      </c>
      <c r="P29">
        <v>0</v>
      </c>
      <c r="Q29">
        <v>35</v>
      </c>
      <c r="R29">
        <v>39</v>
      </c>
      <c r="S29">
        <v>325</v>
      </c>
      <c r="T29">
        <v>10.8</v>
      </c>
      <c r="U29">
        <v>7</v>
      </c>
      <c r="V29">
        <v>0</v>
      </c>
      <c r="W29">
        <f>LN(O29*J29/2)*I29</f>
        <v>852.79426706333152</v>
      </c>
      <c r="X29">
        <f t="shared" si="1"/>
        <v>65.415663413440384</v>
      </c>
    </row>
    <row r="30" spans="1:24" hidden="1" x14ac:dyDescent="0.2">
      <c r="A30" t="s">
        <v>72</v>
      </c>
      <c r="B30" t="s">
        <v>73</v>
      </c>
      <c r="C30">
        <v>1984</v>
      </c>
      <c r="D30">
        <v>1</v>
      </c>
      <c r="E30">
        <v>1</v>
      </c>
      <c r="F30">
        <v>68</v>
      </c>
      <c r="G30">
        <v>165</v>
      </c>
      <c r="H30">
        <f t="shared" si="0"/>
        <v>24.977043158861342</v>
      </c>
      <c r="I30">
        <v>87</v>
      </c>
      <c r="J30">
        <v>86</v>
      </c>
      <c r="K30">
        <v>5.18</v>
      </c>
      <c r="L30">
        <v>0</v>
      </c>
      <c r="M30">
        <v>1</v>
      </c>
      <c r="N30">
        <v>1</v>
      </c>
      <c r="O30">
        <v>96</v>
      </c>
      <c r="P30">
        <v>1</v>
      </c>
      <c r="Q30">
        <v>50</v>
      </c>
      <c r="R30">
        <v>67</v>
      </c>
      <c r="S30">
        <v>245</v>
      </c>
      <c r="T30">
        <v>6.4</v>
      </c>
      <c r="U30">
        <v>5</v>
      </c>
      <c r="V30">
        <v>1</v>
      </c>
      <c r="W30">
        <f>LN(O30*J30/2)*I30</f>
        <v>724.32270272304163</v>
      </c>
      <c r="X30">
        <f t="shared" si="1"/>
        <v>42.717221557231582</v>
      </c>
    </row>
    <row r="31" spans="1:24" hidden="1" x14ac:dyDescent="0.2">
      <c r="A31" t="s">
        <v>74</v>
      </c>
      <c r="B31" t="s">
        <v>75</v>
      </c>
      <c r="C31">
        <v>1986</v>
      </c>
      <c r="D31">
        <v>1</v>
      </c>
      <c r="E31">
        <v>1</v>
      </c>
      <c r="F31">
        <v>66</v>
      </c>
      <c r="G31">
        <v>173</v>
      </c>
      <c r="H31">
        <f t="shared" si="0"/>
        <v>22.052190183434128</v>
      </c>
      <c r="I31">
        <v>85</v>
      </c>
      <c r="J31">
        <v>94</v>
      </c>
      <c r="K31">
        <v>6.23</v>
      </c>
      <c r="L31">
        <v>0</v>
      </c>
      <c r="M31">
        <v>0</v>
      </c>
      <c r="N31">
        <v>0</v>
      </c>
      <c r="O31">
        <v>636</v>
      </c>
      <c r="P31">
        <v>0</v>
      </c>
      <c r="Q31">
        <v>42</v>
      </c>
      <c r="R31">
        <v>47</v>
      </c>
      <c r="S31">
        <v>249</v>
      </c>
      <c r="T31">
        <v>5.6</v>
      </c>
      <c r="U31">
        <v>5</v>
      </c>
      <c r="V31">
        <v>1</v>
      </c>
      <c r="W31">
        <f t="shared" ref="W31:W43" si="4">LN(O31*J31/2)*I31</f>
        <v>875.95442402926528</v>
      </c>
      <c r="X31">
        <f t="shared" si="1"/>
        <v>67.731605057687176</v>
      </c>
    </row>
    <row r="32" spans="1:24" x14ac:dyDescent="0.2">
      <c r="A32" t="s">
        <v>76</v>
      </c>
      <c r="B32" t="s">
        <v>77</v>
      </c>
      <c r="C32">
        <v>1996</v>
      </c>
      <c r="D32">
        <v>1</v>
      </c>
      <c r="E32">
        <v>1</v>
      </c>
      <c r="F32">
        <v>65</v>
      </c>
      <c r="G32">
        <v>167</v>
      </c>
      <c r="H32">
        <f t="shared" si="0"/>
        <v>23.306680053067517</v>
      </c>
      <c r="I32">
        <v>88</v>
      </c>
      <c r="J32">
        <v>88</v>
      </c>
      <c r="K32">
        <v>6.19</v>
      </c>
      <c r="L32">
        <v>0</v>
      </c>
      <c r="M32">
        <v>0</v>
      </c>
      <c r="N32">
        <v>0</v>
      </c>
      <c r="O32">
        <v>136</v>
      </c>
      <c r="P32">
        <v>0</v>
      </c>
      <c r="Q32">
        <v>61</v>
      </c>
      <c r="R32">
        <v>42</v>
      </c>
      <c r="S32">
        <v>232</v>
      </c>
      <c r="T32">
        <v>5.4</v>
      </c>
      <c r="U32">
        <v>4.5</v>
      </c>
      <c r="V32">
        <v>0</v>
      </c>
      <c r="W32">
        <f t="shared" si="4"/>
        <v>765.32231772957948</v>
      </c>
      <c r="X32">
        <f t="shared" si="1"/>
        <v>38.320548246609853</v>
      </c>
    </row>
    <row r="33" spans="1:24" x14ac:dyDescent="0.2">
      <c r="A33" t="s">
        <v>78</v>
      </c>
      <c r="B33" t="s">
        <v>79</v>
      </c>
      <c r="C33">
        <v>1990</v>
      </c>
      <c r="D33">
        <v>1</v>
      </c>
      <c r="E33">
        <v>1</v>
      </c>
      <c r="F33">
        <v>68</v>
      </c>
      <c r="G33">
        <v>162</v>
      </c>
      <c r="H33">
        <f t="shared" si="0"/>
        <v>25.910684346898332</v>
      </c>
      <c r="I33">
        <v>89</v>
      </c>
      <c r="J33">
        <v>101</v>
      </c>
      <c r="K33">
        <v>5.58</v>
      </c>
      <c r="L33">
        <v>0</v>
      </c>
      <c r="M33">
        <v>1</v>
      </c>
      <c r="N33">
        <v>1</v>
      </c>
      <c r="O33">
        <v>330</v>
      </c>
      <c r="P33">
        <v>0</v>
      </c>
      <c r="Q33">
        <v>47</v>
      </c>
      <c r="R33">
        <v>40</v>
      </c>
      <c r="S33">
        <v>241</v>
      </c>
      <c r="T33">
        <v>7.5</v>
      </c>
      <c r="U33">
        <v>5</v>
      </c>
      <c r="V33">
        <v>0</v>
      </c>
      <c r="W33">
        <f t="shared" si="4"/>
        <v>865.17487317602377</v>
      </c>
      <c r="X33">
        <f>100*EXP(0.953*LN(O33)+0.139*H33+0.718*LN(R33)+0.053*I33-15.745)/(1+EXP(0.953*LN(O33)+0.139*H33+0.718*LN(R33)+0.053*I33-15.745))</f>
        <v>67.890318963940942</v>
      </c>
    </row>
    <row r="34" spans="1:24" x14ac:dyDescent="0.2">
      <c r="A34" t="s">
        <v>80</v>
      </c>
      <c r="B34" t="s">
        <v>81</v>
      </c>
      <c r="C34">
        <v>1991</v>
      </c>
      <c r="D34">
        <v>1</v>
      </c>
      <c r="E34">
        <v>1</v>
      </c>
      <c r="F34">
        <v>69</v>
      </c>
      <c r="G34">
        <v>155</v>
      </c>
      <c r="H34">
        <f t="shared" si="0"/>
        <v>28.720083246618103</v>
      </c>
      <c r="I34">
        <v>96</v>
      </c>
      <c r="J34">
        <v>94</v>
      </c>
      <c r="K34">
        <v>5.37</v>
      </c>
      <c r="L34">
        <v>0</v>
      </c>
      <c r="M34">
        <v>0</v>
      </c>
      <c r="N34">
        <v>0</v>
      </c>
      <c r="O34">
        <v>127</v>
      </c>
      <c r="P34">
        <v>0</v>
      </c>
      <c r="Q34">
        <v>46</v>
      </c>
      <c r="R34">
        <v>33</v>
      </c>
      <c r="S34">
        <v>271</v>
      </c>
      <c r="T34">
        <v>6.8</v>
      </c>
      <c r="U34">
        <v>5.3</v>
      </c>
      <c r="V34">
        <v>0</v>
      </c>
      <c r="W34">
        <f t="shared" si="4"/>
        <v>834.65613006419039</v>
      </c>
      <c r="X34">
        <f t="shared" si="1"/>
        <v>61.351088309895871</v>
      </c>
    </row>
    <row r="35" spans="1:24" hidden="1" x14ac:dyDescent="0.2">
      <c r="A35" t="s">
        <v>82</v>
      </c>
      <c r="B35" t="s">
        <v>83</v>
      </c>
      <c r="C35">
        <v>1999</v>
      </c>
      <c r="D35">
        <v>1</v>
      </c>
      <c r="E35">
        <v>1</v>
      </c>
      <c r="F35">
        <v>96</v>
      </c>
      <c r="G35">
        <v>167</v>
      </c>
      <c r="H35">
        <f t="shared" si="0"/>
        <v>34.42217361683818</v>
      </c>
      <c r="I35">
        <v>105</v>
      </c>
      <c r="J35">
        <v>99</v>
      </c>
      <c r="K35">
        <v>6.23</v>
      </c>
      <c r="L35">
        <v>0</v>
      </c>
      <c r="M35">
        <v>1</v>
      </c>
      <c r="N35">
        <v>0</v>
      </c>
      <c r="O35">
        <v>328</v>
      </c>
      <c r="P35">
        <v>0</v>
      </c>
      <c r="Q35">
        <v>50</v>
      </c>
      <c r="R35">
        <v>101</v>
      </c>
      <c r="S35">
        <v>329</v>
      </c>
      <c r="T35">
        <v>13.4</v>
      </c>
      <c r="U35">
        <v>7.2</v>
      </c>
      <c r="V35">
        <v>1</v>
      </c>
      <c r="W35">
        <f t="shared" si="4"/>
        <v>1017.9735591856728</v>
      </c>
      <c r="X35">
        <f t="shared" si="1"/>
        <v>96.890382797469201</v>
      </c>
    </row>
    <row r="36" spans="1:24" x14ac:dyDescent="0.2">
      <c r="A36" t="s">
        <v>84</v>
      </c>
      <c r="B36" t="s">
        <v>85</v>
      </c>
      <c r="C36">
        <v>1989</v>
      </c>
      <c r="D36">
        <v>1</v>
      </c>
      <c r="E36">
        <v>1</v>
      </c>
      <c r="F36">
        <v>67</v>
      </c>
      <c r="G36">
        <v>163</v>
      </c>
      <c r="H36">
        <f t="shared" si="0"/>
        <v>25.217358575783809</v>
      </c>
      <c r="I36">
        <v>88</v>
      </c>
      <c r="J36">
        <v>88</v>
      </c>
      <c r="K36">
        <v>5.92</v>
      </c>
      <c r="L36">
        <v>0</v>
      </c>
      <c r="M36">
        <v>0</v>
      </c>
      <c r="N36">
        <v>0</v>
      </c>
      <c r="O36">
        <v>170</v>
      </c>
      <c r="P36">
        <v>0</v>
      </c>
      <c r="Q36">
        <v>40</v>
      </c>
      <c r="R36">
        <v>36</v>
      </c>
      <c r="S36">
        <v>334</v>
      </c>
      <c r="T36">
        <v>5.6</v>
      </c>
      <c r="U36">
        <v>7.4</v>
      </c>
      <c r="V36">
        <v>0</v>
      </c>
      <c r="W36">
        <f t="shared" si="4"/>
        <v>784.95895024523008</v>
      </c>
      <c r="X36">
        <f t="shared" si="1"/>
        <v>47.292534653307939</v>
      </c>
    </row>
    <row r="37" spans="1:24" hidden="1" x14ac:dyDescent="0.2">
      <c r="A37" t="s">
        <v>86</v>
      </c>
      <c r="B37" t="s">
        <v>87</v>
      </c>
      <c r="C37">
        <v>1983</v>
      </c>
      <c r="D37">
        <v>1</v>
      </c>
      <c r="E37">
        <v>1</v>
      </c>
      <c r="F37">
        <v>76</v>
      </c>
      <c r="G37">
        <v>175</v>
      </c>
      <c r="H37">
        <f t="shared" si="0"/>
        <v>24.816326530612244</v>
      </c>
      <c r="I37">
        <v>88</v>
      </c>
      <c r="J37">
        <v>86</v>
      </c>
      <c r="K37">
        <v>5.71</v>
      </c>
      <c r="L37">
        <v>0</v>
      </c>
      <c r="M37">
        <v>0</v>
      </c>
      <c r="N37">
        <v>0</v>
      </c>
      <c r="O37">
        <v>336</v>
      </c>
      <c r="P37">
        <v>0</v>
      </c>
      <c r="Q37">
        <v>42</v>
      </c>
      <c r="R37">
        <v>50</v>
      </c>
      <c r="S37">
        <v>270</v>
      </c>
      <c r="T37">
        <v>6</v>
      </c>
      <c r="U37">
        <v>5.0999999999999996</v>
      </c>
      <c r="V37">
        <v>1</v>
      </c>
      <c r="W37">
        <f t="shared" si="4"/>
        <v>842.89139225779536</v>
      </c>
      <c r="X37">
        <f t="shared" si="1"/>
        <v>67.282913205895284</v>
      </c>
    </row>
    <row r="38" spans="1:24" x14ac:dyDescent="0.2">
      <c r="A38" t="s">
        <v>88</v>
      </c>
      <c r="B38" t="s">
        <v>925</v>
      </c>
      <c r="C38">
        <v>1993</v>
      </c>
      <c r="D38">
        <v>1</v>
      </c>
      <c r="E38">
        <v>1</v>
      </c>
      <c r="F38">
        <v>71</v>
      </c>
      <c r="G38">
        <v>167</v>
      </c>
      <c r="H38">
        <f t="shared" si="0"/>
        <v>25.458065904119906</v>
      </c>
      <c r="I38">
        <v>80</v>
      </c>
      <c r="J38">
        <v>132</v>
      </c>
      <c r="K38">
        <v>6.71</v>
      </c>
      <c r="L38">
        <v>1</v>
      </c>
      <c r="M38">
        <v>0</v>
      </c>
      <c r="N38">
        <v>0</v>
      </c>
      <c r="O38">
        <v>231</v>
      </c>
      <c r="P38">
        <v>0</v>
      </c>
      <c r="Q38">
        <v>47</v>
      </c>
      <c r="R38">
        <v>57</v>
      </c>
      <c r="S38">
        <v>285</v>
      </c>
      <c r="T38">
        <v>7.2</v>
      </c>
      <c r="U38">
        <v>5.7</v>
      </c>
      <c r="V38">
        <v>0</v>
      </c>
      <c r="W38">
        <f t="shared" si="4"/>
        <v>770.56579620385742</v>
      </c>
      <c r="X38">
        <f t="shared" si="1"/>
        <v>53.076260810932432</v>
      </c>
    </row>
    <row r="39" spans="1:24" hidden="1" x14ac:dyDescent="0.2">
      <c r="A39" t="s">
        <v>89</v>
      </c>
      <c r="B39" t="s">
        <v>90</v>
      </c>
      <c r="C39">
        <v>2001</v>
      </c>
      <c r="D39">
        <v>1</v>
      </c>
      <c r="E39">
        <v>1</v>
      </c>
      <c r="F39">
        <v>71</v>
      </c>
      <c r="G39">
        <v>175</v>
      </c>
      <c r="H39">
        <f t="shared" si="0"/>
        <v>23.183673469387756</v>
      </c>
      <c r="I39">
        <v>94</v>
      </c>
      <c r="J39">
        <v>77</v>
      </c>
      <c r="K39">
        <v>5.0599999999999996</v>
      </c>
      <c r="L39">
        <v>0</v>
      </c>
      <c r="M39">
        <v>0</v>
      </c>
      <c r="N39">
        <v>0</v>
      </c>
      <c r="O39">
        <v>94</v>
      </c>
      <c r="P39">
        <v>0</v>
      </c>
      <c r="Q39">
        <v>74</v>
      </c>
      <c r="R39">
        <v>63</v>
      </c>
      <c r="S39">
        <v>247</v>
      </c>
      <c r="T39">
        <v>7.1</v>
      </c>
      <c r="U39">
        <v>4.7</v>
      </c>
      <c r="V39">
        <v>1</v>
      </c>
      <c r="W39">
        <f t="shared" si="4"/>
        <v>770.2315842149917</v>
      </c>
      <c r="X39">
        <f t="shared" si="1"/>
        <v>44.128742909307768</v>
      </c>
    </row>
    <row r="40" spans="1:24" x14ac:dyDescent="0.2">
      <c r="A40" t="s">
        <v>91</v>
      </c>
      <c r="B40" t="s">
        <v>92</v>
      </c>
      <c r="C40">
        <v>1959</v>
      </c>
      <c r="D40">
        <v>1</v>
      </c>
      <c r="E40">
        <v>1</v>
      </c>
      <c r="F40">
        <v>69</v>
      </c>
      <c r="G40">
        <v>169</v>
      </c>
      <c r="H40">
        <f t="shared" si="0"/>
        <v>24.158817968558527</v>
      </c>
      <c r="I40">
        <v>84</v>
      </c>
      <c r="J40">
        <v>92</v>
      </c>
      <c r="K40">
        <v>5.81</v>
      </c>
      <c r="L40">
        <v>1</v>
      </c>
      <c r="M40">
        <v>0</v>
      </c>
      <c r="N40">
        <v>1</v>
      </c>
      <c r="O40">
        <v>92</v>
      </c>
      <c r="P40">
        <v>1</v>
      </c>
      <c r="Q40">
        <v>45</v>
      </c>
      <c r="R40">
        <v>31</v>
      </c>
      <c r="S40">
        <v>288</v>
      </c>
      <c r="T40">
        <v>6.3</v>
      </c>
      <c r="U40">
        <v>5.8</v>
      </c>
      <c r="V40">
        <v>0</v>
      </c>
      <c r="W40">
        <f t="shared" si="4"/>
        <v>701.43611777720344</v>
      </c>
      <c r="X40">
        <f t="shared" si="1"/>
        <v>23.865693254370225</v>
      </c>
    </row>
    <row r="41" spans="1:24" x14ac:dyDescent="0.2">
      <c r="A41" t="s">
        <v>93</v>
      </c>
      <c r="B41" t="s">
        <v>94</v>
      </c>
      <c r="C41">
        <v>2000</v>
      </c>
      <c r="D41">
        <v>0</v>
      </c>
      <c r="E41">
        <v>1</v>
      </c>
      <c r="F41">
        <v>69</v>
      </c>
      <c r="G41">
        <v>157</v>
      </c>
      <c r="H41">
        <f t="shared" si="0"/>
        <v>27.993022029291247</v>
      </c>
      <c r="I41">
        <v>92</v>
      </c>
      <c r="J41">
        <v>85</v>
      </c>
      <c r="K41">
        <v>5.73</v>
      </c>
      <c r="L41">
        <v>0</v>
      </c>
      <c r="M41">
        <v>0</v>
      </c>
      <c r="N41">
        <v>0</v>
      </c>
      <c r="O41">
        <v>192</v>
      </c>
      <c r="P41">
        <v>0</v>
      </c>
      <c r="Q41">
        <v>49</v>
      </c>
      <c r="R41">
        <v>48</v>
      </c>
      <c r="S41">
        <v>349</v>
      </c>
      <c r="T41">
        <v>8.4</v>
      </c>
      <c r="U41">
        <v>7.9</v>
      </c>
      <c r="V41">
        <v>0</v>
      </c>
      <c r="W41">
        <f t="shared" si="4"/>
        <v>828.64394921215001</v>
      </c>
      <c r="X41">
        <f t="shared" si="1"/>
        <v>69.252391873679201</v>
      </c>
    </row>
    <row r="42" spans="1:24" x14ac:dyDescent="0.2">
      <c r="A42" t="s">
        <v>95</v>
      </c>
      <c r="B42" t="s">
        <v>97</v>
      </c>
      <c r="C42">
        <v>1967</v>
      </c>
      <c r="D42">
        <v>1</v>
      </c>
      <c r="E42">
        <v>1</v>
      </c>
      <c r="F42">
        <v>76</v>
      </c>
      <c r="G42">
        <v>173</v>
      </c>
      <c r="H42">
        <f t="shared" si="0"/>
        <v>25.393431120318084</v>
      </c>
      <c r="I42">
        <v>90</v>
      </c>
      <c r="J42">
        <v>99</v>
      </c>
      <c r="K42">
        <v>5.68</v>
      </c>
      <c r="L42">
        <v>0</v>
      </c>
      <c r="M42">
        <v>0</v>
      </c>
      <c r="N42">
        <v>1</v>
      </c>
      <c r="O42">
        <v>188</v>
      </c>
      <c r="P42">
        <v>1</v>
      </c>
      <c r="Q42">
        <v>43</v>
      </c>
      <c r="R42">
        <v>47</v>
      </c>
      <c r="S42">
        <v>324</v>
      </c>
      <c r="T42">
        <v>9.6</v>
      </c>
      <c r="U42">
        <v>7</v>
      </c>
      <c r="V42">
        <v>0</v>
      </c>
      <c r="W42">
        <f t="shared" si="4"/>
        <v>822.45731691641345</v>
      </c>
      <c r="X42">
        <f t="shared" si="1"/>
        <v>57.674419464915275</v>
      </c>
    </row>
    <row r="43" spans="1:24" x14ac:dyDescent="0.2">
      <c r="A43" t="s">
        <v>96</v>
      </c>
      <c r="B43" t="s">
        <v>98</v>
      </c>
      <c r="C43">
        <v>1987</v>
      </c>
      <c r="D43">
        <v>1</v>
      </c>
      <c r="E43">
        <v>1</v>
      </c>
      <c r="F43">
        <v>58</v>
      </c>
      <c r="G43">
        <v>163</v>
      </c>
      <c r="H43">
        <f t="shared" si="0"/>
        <v>21.829952199932254</v>
      </c>
      <c r="I43">
        <v>84</v>
      </c>
      <c r="J43">
        <v>92</v>
      </c>
      <c r="K43">
        <v>6.12</v>
      </c>
      <c r="L43">
        <v>0</v>
      </c>
      <c r="M43">
        <v>1</v>
      </c>
      <c r="N43">
        <v>0</v>
      </c>
      <c r="O43">
        <v>336</v>
      </c>
      <c r="P43">
        <v>0</v>
      </c>
      <c r="Q43">
        <v>55</v>
      </c>
      <c r="R43">
        <v>79</v>
      </c>
      <c r="S43">
        <v>266</v>
      </c>
      <c r="T43">
        <v>6</v>
      </c>
      <c r="U43">
        <v>5.4</v>
      </c>
      <c r="V43">
        <v>0</v>
      </c>
      <c r="W43">
        <f t="shared" si="4"/>
        <v>810.24321474199314</v>
      </c>
      <c r="X43">
        <f t="shared" si="1"/>
        <v>60.404158440643521</v>
      </c>
    </row>
    <row r="44" spans="1:24" x14ac:dyDescent="0.2">
      <c r="A44" t="s">
        <v>99</v>
      </c>
      <c r="B44" t="s">
        <v>100</v>
      </c>
      <c r="C44">
        <v>1970</v>
      </c>
      <c r="D44">
        <v>1</v>
      </c>
      <c r="E44">
        <v>1</v>
      </c>
      <c r="F44">
        <v>72</v>
      </c>
      <c r="G44">
        <v>168</v>
      </c>
      <c r="H44">
        <f t="shared" si="0"/>
        <v>25.510204081632658</v>
      </c>
      <c r="I44">
        <v>94</v>
      </c>
      <c r="J44">
        <v>85</v>
      </c>
      <c r="K44">
        <v>5.78</v>
      </c>
      <c r="L44">
        <v>0</v>
      </c>
      <c r="M44">
        <v>0</v>
      </c>
      <c r="N44">
        <v>0</v>
      </c>
      <c r="O44">
        <v>218</v>
      </c>
      <c r="P44">
        <v>0</v>
      </c>
      <c r="Q44">
        <v>55</v>
      </c>
      <c r="R44">
        <v>62</v>
      </c>
      <c r="S44">
        <v>317</v>
      </c>
      <c r="T44">
        <v>7.6</v>
      </c>
      <c r="U44">
        <v>6.6</v>
      </c>
      <c r="V44">
        <v>0</v>
      </c>
      <c r="W44">
        <f>LN(O44*J44/2)*I44</f>
        <v>858.59591903962928</v>
      </c>
      <c r="X44">
        <f t="shared" si="1"/>
        <v>70.632974864019857</v>
      </c>
    </row>
    <row r="45" spans="1:24" x14ac:dyDescent="0.2">
      <c r="A45" t="s">
        <v>102</v>
      </c>
      <c r="B45" t="s">
        <v>101</v>
      </c>
      <c r="C45">
        <v>1971</v>
      </c>
      <c r="D45">
        <v>0</v>
      </c>
      <c r="E45">
        <v>1</v>
      </c>
      <c r="F45">
        <v>57</v>
      </c>
      <c r="G45">
        <v>156</v>
      </c>
      <c r="H45">
        <f t="shared" si="0"/>
        <v>23.422090729783037</v>
      </c>
      <c r="I45">
        <v>98</v>
      </c>
      <c r="J45">
        <v>88</v>
      </c>
      <c r="K45">
        <v>4.6900000000000004</v>
      </c>
      <c r="L45">
        <v>0</v>
      </c>
      <c r="M45">
        <v>0</v>
      </c>
      <c r="N45">
        <v>0</v>
      </c>
      <c r="O45">
        <v>165</v>
      </c>
      <c r="P45">
        <v>0</v>
      </c>
      <c r="Q45">
        <v>57</v>
      </c>
      <c r="R45">
        <v>19</v>
      </c>
      <c r="S45">
        <v>248</v>
      </c>
      <c r="T45">
        <v>4.4000000000000004</v>
      </c>
      <c r="U45">
        <v>4.9000000000000004</v>
      </c>
      <c r="V45">
        <v>0</v>
      </c>
      <c r="W45">
        <f>LN(O45*J45/2)*I45</f>
        <v>871.23324056624654</v>
      </c>
      <c r="X45">
        <f t="shared" si="1"/>
        <v>42.183228985853958</v>
      </c>
    </row>
    <row r="46" spans="1:24" x14ac:dyDescent="0.2">
      <c r="A46" t="s">
        <v>103</v>
      </c>
      <c r="B46" t="s">
        <v>104</v>
      </c>
      <c r="C46">
        <v>1991</v>
      </c>
      <c r="D46">
        <v>1</v>
      </c>
      <c r="E46">
        <v>1</v>
      </c>
      <c r="F46">
        <v>82</v>
      </c>
      <c r="G46">
        <v>168</v>
      </c>
      <c r="H46">
        <f t="shared" si="0"/>
        <v>29.053287981859416</v>
      </c>
      <c r="I46">
        <v>92</v>
      </c>
      <c r="J46">
        <v>85</v>
      </c>
      <c r="K46">
        <v>5.23</v>
      </c>
      <c r="L46">
        <v>0</v>
      </c>
      <c r="M46">
        <v>0</v>
      </c>
      <c r="N46">
        <v>0</v>
      </c>
      <c r="O46">
        <v>239</v>
      </c>
      <c r="P46">
        <v>0</v>
      </c>
      <c r="Q46">
        <v>36</v>
      </c>
      <c r="R46">
        <v>24</v>
      </c>
      <c r="S46">
        <v>326</v>
      </c>
      <c r="T46">
        <v>5.6</v>
      </c>
      <c r="U46">
        <v>7</v>
      </c>
      <c r="V46">
        <v>0</v>
      </c>
      <c r="W46">
        <f>LN(O46*J46/2)*I46</f>
        <v>848.78902176329314</v>
      </c>
      <c r="X46">
        <f t="shared" si="1"/>
        <v>66.157468451558273</v>
      </c>
    </row>
    <row r="47" spans="1:24" x14ac:dyDescent="0.2">
      <c r="A47" t="s">
        <v>105</v>
      </c>
      <c r="B47" t="s">
        <v>106</v>
      </c>
      <c r="C47">
        <v>2002</v>
      </c>
      <c r="D47">
        <v>1</v>
      </c>
      <c r="E47">
        <v>1</v>
      </c>
      <c r="F47">
        <v>92</v>
      </c>
      <c r="G47">
        <v>169</v>
      </c>
      <c r="H47">
        <f t="shared" si="0"/>
        <v>32.211757291411367</v>
      </c>
      <c r="I47">
        <v>106</v>
      </c>
      <c r="J47">
        <v>101</v>
      </c>
      <c r="K47">
        <v>5.56</v>
      </c>
      <c r="L47">
        <v>0</v>
      </c>
      <c r="M47">
        <v>1</v>
      </c>
      <c r="N47">
        <v>0</v>
      </c>
      <c r="O47">
        <v>254</v>
      </c>
      <c r="P47">
        <v>0</v>
      </c>
      <c r="Q47">
        <v>57</v>
      </c>
      <c r="R47">
        <v>285</v>
      </c>
      <c r="S47">
        <v>366</v>
      </c>
      <c r="T47">
        <v>11.5</v>
      </c>
      <c r="U47">
        <v>8.3000000000000007</v>
      </c>
      <c r="V47">
        <v>0</v>
      </c>
      <c r="W47">
        <f>LN(O47*J47/2)*I47</f>
        <v>1002.6866059497841</v>
      </c>
      <c r="X47">
        <f t="shared" si="1"/>
        <v>97.554116962193163</v>
      </c>
    </row>
    <row r="48" spans="1:24" x14ac:dyDescent="0.2">
      <c r="A48" t="s">
        <v>107</v>
      </c>
      <c r="B48" t="s">
        <v>109</v>
      </c>
      <c r="C48">
        <v>1982</v>
      </c>
      <c r="D48">
        <v>1</v>
      </c>
      <c r="E48">
        <v>1</v>
      </c>
      <c r="F48">
        <v>67</v>
      </c>
      <c r="G48">
        <v>163</v>
      </c>
      <c r="H48">
        <f t="shared" si="0"/>
        <v>25.217358575783809</v>
      </c>
      <c r="I48">
        <v>87</v>
      </c>
      <c r="J48">
        <v>90</v>
      </c>
      <c r="K48">
        <v>5.58</v>
      </c>
      <c r="L48">
        <v>0</v>
      </c>
      <c r="M48">
        <v>0</v>
      </c>
      <c r="N48">
        <v>0</v>
      </c>
      <c r="O48">
        <v>325</v>
      </c>
      <c r="P48">
        <v>0</v>
      </c>
      <c r="Q48">
        <v>49</v>
      </c>
      <c r="R48">
        <v>86</v>
      </c>
      <c r="S48">
        <v>282</v>
      </c>
      <c r="T48">
        <v>6</v>
      </c>
      <c r="U48">
        <v>5.7</v>
      </c>
      <c r="V48">
        <v>0</v>
      </c>
      <c r="W48">
        <f t="shared" ref="W48:W60" si="5">LN(O48*J48/2)*I48</f>
        <v>834.372427472705</v>
      </c>
      <c r="X48">
        <f t="shared" si="1"/>
        <v>74.67625353469704</v>
      </c>
    </row>
    <row r="49" spans="1:24" x14ac:dyDescent="0.2">
      <c r="A49" t="s">
        <v>108</v>
      </c>
      <c r="B49" t="s">
        <v>110</v>
      </c>
      <c r="C49">
        <v>1984</v>
      </c>
      <c r="D49">
        <v>0</v>
      </c>
      <c r="E49">
        <v>1</v>
      </c>
      <c r="F49">
        <v>59</v>
      </c>
      <c r="G49">
        <v>154</v>
      </c>
      <c r="H49">
        <f t="shared" si="0"/>
        <v>24.877719682914488</v>
      </c>
      <c r="I49">
        <v>80</v>
      </c>
      <c r="J49">
        <v>114</v>
      </c>
      <c r="K49">
        <v>5.79</v>
      </c>
      <c r="L49">
        <v>0</v>
      </c>
      <c r="M49">
        <v>0</v>
      </c>
      <c r="N49">
        <v>0</v>
      </c>
      <c r="O49">
        <v>235</v>
      </c>
      <c r="P49">
        <v>0</v>
      </c>
      <c r="Q49">
        <v>48</v>
      </c>
      <c r="R49">
        <v>15</v>
      </c>
      <c r="S49">
        <v>272</v>
      </c>
      <c r="T49">
        <v>6.8</v>
      </c>
      <c r="U49">
        <v>5.4</v>
      </c>
      <c r="V49">
        <v>0</v>
      </c>
      <c r="W49">
        <f t="shared" si="5"/>
        <v>760.21094255829667</v>
      </c>
      <c r="X49">
        <f t="shared" si="1"/>
        <v>28.912614283408615</v>
      </c>
    </row>
    <row r="50" spans="1:24" x14ac:dyDescent="0.2">
      <c r="A50" t="s">
        <v>111</v>
      </c>
      <c r="B50" t="s">
        <v>112</v>
      </c>
      <c r="C50">
        <v>1984</v>
      </c>
      <c r="D50">
        <v>1</v>
      </c>
      <c r="E50">
        <v>1</v>
      </c>
      <c r="F50">
        <v>75</v>
      </c>
      <c r="G50">
        <v>167</v>
      </c>
      <c r="H50">
        <f t="shared" si="0"/>
        <v>26.892323138154829</v>
      </c>
      <c r="I50">
        <v>98</v>
      </c>
      <c r="J50">
        <v>105</v>
      </c>
      <c r="K50">
        <v>6.13</v>
      </c>
      <c r="L50">
        <v>0</v>
      </c>
      <c r="M50">
        <v>1</v>
      </c>
      <c r="N50">
        <v>0</v>
      </c>
      <c r="O50">
        <v>286</v>
      </c>
      <c r="P50">
        <v>0</v>
      </c>
      <c r="Q50">
        <v>41</v>
      </c>
      <c r="R50">
        <v>145</v>
      </c>
      <c r="S50">
        <v>299</v>
      </c>
      <c r="T50">
        <v>8</v>
      </c>
      <c r="U50">
        <v>6.1</v>
      </c>
      <c r="V50">
        <v>0</v>
      </c>
      <c r="W50">
        <f t="shared" si="5"/>
        <v>942.44688808090825</v>
      </c>
      <c r="X50">
        <f t="shared" si="1"/>
        <v>89.571436413103129</v>
      </c>
    </row>
    <row r="51" spans="1:24" x14ac:dyDescent="0.2">
      <c r="A51" t="s">
        <v>113</v>
      </c>
      <c r="B51" t="s">
        <v>114</v>
      </c>
      <c r="C51">
        <v>1992</v>
      </c>
      <c r="D51">
        <v>1</v>
      </c>
      <c r="E51">
        <v>1</v>
      </c>
      <c r="F51">
        <v>96</v>
      </c>
      <c r="G51">
        <v>175</v>
      </c>
      <c r="H51">
        <f t="shared" si="0"/>
        <v>31.346938775510203</v>
      </c>
      <c r="I51">
        <v>108</v>
      </c>
      <c r="J51">
        <v>135</v>
      </c>
      <c r="K51">
        <v>5.64</v>
      </c>
      <c r="L51">
        <v>0</v>
      </c>
      <c r="M51">
        <v>1</v>
      </c>
      <c r="N51">
        <v>1</v>
      </c>
      <c r="O51">
        <v>197</v>
      </c>
      <c r="P51">
        <v>0</v>
      </c>
      <c r="Q51">
        <v>33</v>
      </c>
      <c r="R51">
        <v>27</v>
      </c>
      <c r="S51">
        <v>337</v>
      </c>
      <c r="T51">
        <v>14.9</v>
      </c>
      <c r="U51">
        <v>7.4</v>
      </c>
      <c r="V51">
        <v>0</v>
      </c>
      <c r="W51">
        <f t="shared" si="5"/>
        <v>1025.495783274579</v>
      </c>
      <c r="X51">
        <f>100*EXP(0.953*LN(O51)+0.139*H51+0.718*LN(R51)+0.053*I51-15.745)/(1+EXP(0.953*LN(O51)+0.139*H51+0.718*LN(R51)+0.053*I51-15.745))</f>
        <v>85.037286854379332</v>
      </c>
    </row>
    <row r="52" spans="1:24" x14ac:dyDescent="0.2">
      <c r="A52" t="s">
        <v>115</v>
      </c>
      <c r="B52" t="s">
        <v>116</v>
      </c>
      <c r="C52">
        <v>1963</v>
      </c>
      <c r="D52">
        <v>1</v>
      </c>
      <c r="E52">
        <v>1</v>
      </c>
      <c r="F52">
        <v>62</v>
      </c>
      <c r="G52">
        <v>168</v>
      </c>
      <c r="H52">
        <f t="shared" si="0"/>
        <v>21.9671201814059</v>
      </c>
      <c r="I52">
        <v>91</v>
      </c>
      <c r="J52">
        <v>106</v>
      </c>
      <c r="K52">
        <v>5.24</v>
      </c>
      <c r="L52">
        <v>1</v>
      </c>
      <c r="M52">
        <v>1</v>
      </c>
      <c r="N52">
        <v>0</v>
      </c>
      <c r="O52">
        <v>96</v>
      </c>
      <c r="P52">
        <v>0</v>
      </c>
      <c r="Q52">
        <v>38</v>
      </c>
      <c r="R52">
        <v>23</v>
      </c>
      <c r="S52">
        <v>299</v>
      </c>
      <c r="T52">
        <v>7</v>
      </c>
      <c r="U52">
        <v>6.3</v>
      </c>
      <c r="V52">
        <v>0</v>
      </c>
      <c r="W52">
        <f t="shared" si="5"/>
        <v>776.65224955681617</v>
      </c>
      <c r="X52">
        <f t="shared" si="1"/>
        <v>21.969209031172227</v>
      </c>
    </row>
    <row r="53" spans="1:24" x14ac:dyDescent="0.2">
      <c r="A53" t="s">
        <v>117</v>
      </c>
      <c r="B53" t="s">
        <v>118</v>
      </c>
      <c r="C53">
        <v>1979</v>
      </c>
      <c r="D53">
        <v>0</v>
      </c>
      <c r="E53">
        <v>1</v>
      </c>
      <c r="F53">
        <v>56</v>
      </c>
      <c r="G53">
        <v>152</v>
      </c>
      <c r="H53">
        <f t="shared" si="0"/>
        <v>24.238227146814403</v>
      </c>
      <c r="I53">
        <v>89</v>
      </c>
      <c r="J53">
        <v>81</v>
      </c>
      <c r="K53">
        <v>5.47</v>
      </c>
      <c r="L53">
        <v>0</v>
      </c>
      <c r="M53">
        <v>0</v>
      </c>
      <c r="N53">
        <v>0</v>
      </c>
      <c r="O53">
        <v>72</v>
      </c>
      <c r="P53">
        <v>0</v>
      </c>
      <c r="Q53">
        <v>57</v>
      </c>
      <c r="R53">
        <v>14</v>
      </c>
      <c r="S53">
        <v>264</v>
      </c>
      <c r="T53">
        <v>4.9000000000000004</v>
      </c>
      <c r="U53">
        <v>5.2</v>
      </c>
      <c r="V53">
        <v>0</v>
      </c>
      <c r="W53">
        <f t="shared" si="5"/>
        <v>710.03916028844083</v>
      </c>
      <c r="X53">
        <f t="shared" si="1"/>
        <v>15.598894513044716</v>
      </c>
    </row>
    <row r="54" spans="1:24" x14ac:dyDescent="0.2">
      <c r="A54" t="s">
        <v>119</v>
      </c>
      <c r="B54" t="s">
        <v>120</v>
      </c>
      <c r="C54">
        <v>1974</v>
      </c>
      <c r="D54">
        <v>0</v>
      </c>
      <c r="E54">
        <v>1</v>
      </c>
      <c r="F54">
        <v>55</v>
      </c>
      <c r="G54">
        <v>155</v>
      </c>
      <c r="H54">
        <f t="shared" si="0"/>
        <v>22.892819979188342</v>
      </c>
      <c r="I54">
        <v>90</v>
      </c>
      <c r="J54">
        <v>86</v>
      </c>
      <c r="K54">
        <v>4.8600000000000003</v>
      </c>
      <c r="L54">
        <v>0</v>
      </c>
      <c r="M54">
        <v>0</v>
      </c>
      <c r="N54">
        <v>0</v>
      </c>
      <c r="O54">
        <v>256</v>
      </c>
      <c r="P54">
        <v>0</v>
      </c>
      <c r="Q54">
        <v>46</v>
      </c>
      <c r="R54">
        <v>12</v>
      </c>
      <c r="S54">
        <v>305</v>
      </c>
      <c r="T54">
        <v>7.5</v>
      </c>
      <c r="U54">
        <v>6.3</v>
      </c>
      <c r="V54">
        <v>0</v>
      </c>
      <c r="W54">
        <f t="shared" si="5"/>
        <v>837.57398041558122</v>
      </c>
      <c r="X54">
        <f t="shared" si="1"/>
        <v>32.647297588557947</v>
      </c>
    </row>
    <row r="55" spans="1:24" x14ac:dyDescent="0.2">
      <c r="A55" t="s">
        <v>121</v>
      </c>
      <c r="B55" t="s">
        <v>122</v>
      </c>
      <c r="C55">
        <v>1985</v>
      </c>
      <c r="D55">
        <v>1</v>
      </c>
      <c r="E55">
        <v>1</v>
      </c>
      <c r="F55">
        <v>65</v>
      </c>
      <c r="G55">
        <v>163</v>
      </c>
      <c r="H55">
        <f t="shared" si="0"/>
        <v>24.464601603372351</v>
      </c>
      <c r="I55">
        <v>82</v>
      </c>
      <c r="J55">
        <v>108</v>
      </c>
      <c r="K55">
        <v>5.69</v>
      </c>
      <c r="L55">
        <v>0</v>
      </c>
      <c r="M55">
        <v>1</v>
      </c>
      <c r="N55">
        <v>0</v>
      </c>
      <c r="O55">
        <v>377</v>
      </c>
      <c r="P55">
        <v>0</v>
      </c>
      <c r="Q55">
        <v>50</v>
      </c>
      <c r="R55">
        <v>31</v>
      </c>
      <c r="S55">
        <v>286</v>
      </c>
      <c r="T55">
        <v>5.0999999999999996</v>
      </c>
      <c r="U55">
        <v>5.8</v>
      </c>
      <c r="V55">
        <v>0</v>
      </c>
      <c r="W55">
        <f t="shared" si="5"/>
        <v>813.54079718900744</v>
      </c>
      <c r="X55">
        <f t="shared" si="1"/>
        <v>53.011652422512796</v>
      </c>
    </row>
    <row r="56" spans="1:24" hidden="1" x14ac:dyDescent="0.2">
      <c r="A56" t="s">
        <v>123</v>
      </c>
      <c r="B56" t="s">
        <v>124</v>
      </c>
      <c r="C56">
        <v>1990</v>
      </c>
      <c r="D56">
        <v>1</v>
      </c>
      <c r="E56">
        <v>1</v>
      </c>
      <c r="F56">
        <v>90</v>
      </c>
      <c r="G56">
        <v>175</v>
      </c>
      <c r="H56">
        <f t="shared" si="0"/>
        <v>29.387755102040817</v>
      </c>
      <c r="I56">
        <v>107</v>
      </c>
      <c r="J56">
        <v>94</v>
      </c>
      <c r="K56">
        <v>6.32</v>
      </c>
      <c r="L56">
        <v>0</v>
      </c>
      <c r="M56">
        <v>0</v>
      </c>
      <c r="N56">
        <v>0</v>
      </c>
      <c r="O56">
        <v>107</v>
      </c>
      <c r="P56">
        <v>0</v>
      </c>
      <c r="Q56">
        <v>38</v>
      </c>
      <c r="R56">
        <v>41</v>
      </c>
      <c r="S56">
        <v>267</v>
      </c>
      <c r="T56">
        <v>6.2</v>
      </c>
      <c r="U56">
        <v>5.3</v>
      </c>
      <c r="V56">
        <v>1</v>
      </c>
      <c r="W56">
        <f t="shared" si="5"/>
        <v>911.95847867040015</v>
      </c>
      <c r="X56">
        <f t="shared" si="1"/>
        <v>75.592167387184404</v>
      </c>
    </row>
    <row r="57" spans="1:24" x14ac:dyDescent="0.2">
      <c r="A57" t="s">
        <v>125</v>
      </c>
      <c r="B57" t="s">
        <v>126</v>
      </c>
      <c r="C57">
        <v>1984</v>
      </c>
      <c r="D57">
        <v>1</v>
      </c>
      <c r="E57">
        <v>1</v>
      </c>
      <c r="F57">
        <v>74</v>
      </c>
      <c r="G57">
        <v>162</v>
      </c>
      <c r="H57">
        <f t="shared" si="0"/>
        <v>28.196921201036421</v>
      </c>
      <c r="I57">
        <v>97</v>
      </c>
      <c r="J57">
        <v>101</v>
      </c>
      <c r="K57">
        <v>6.49</v>
      </c>
      <c r="L57">
        <v>1</v>
      </c>
      <c r="M57">
        <v>1</v>
      </c>
      <c r="N57">
        <v>0</v>
      </c>
      <c r="O57">
        <v>162</v>
      </c>
      <c r="P57">
        <v>1</v>
      </c>
      <c r="Q57">
        <v>45</v>
      </c>
      <c r="R57">
        <v>38</v>
      </c>
      <c r="S57">
        <v>314</v>
      </c>
      <c r="T57">
        <v>8.8000000000000007</v>
      </c>
      <c r="U57">
        <v>6.5</v>
      </c>
      <c r="V57">
        <v>0</v>
      </c>
      <c r="W57">
        <f t="shared" si="5"/>
        <v>873.92825813682873</v>
      </c>
      <c r="X57">
        <f t="shared" si="1"/>
        <v>68.473928938114639</v>
      </c>
    </row>
    <row r="58" spans="1:24" x14ac:dyDescent="0.2">
      <c r="A58" t="s">
        <v>127</v>
      </c>
      <c r="B58" t="s">
        <v>128</v>
      </c>
      <c r="C58">
        <v>1998</v>
      </c>
      <c r="D58">
        <v>1</v>
      </c>
      <c r="E58">
        <v>1</v>
      </c>
      <c r="F58">
        <v>77</v>
      </c>
      <c r="G58">
        <v>184</v>
      </c>
      <c r="H58">
        <f t="shared" si="0"/>
        <v>22.743383742911153</v>
      </c>
      <c r="I58">
        <v>90</v>
      </c>
      <c r="J58">
        <v>83</v>
      </c>
      <c r="K58">
        <v>5.86</v>
      </c>
      <c r="L58">
        <v>0</v>
      </c>
      <c r="M58">
        <v>0</v>
      </c>
      <c r="N58">
        <v>0</v>
      </c>
      <c r="O58">
        <v>53</v>
      </c>
      <c r="P58">
        <v>0</v>
      </c>
      <c r="Q58">
        <v>55</v>
      </c>
      <c r="R58">
        <v>69</v>
      </c>
      <c r="S58">
        <v>245</v>
      </c>
      <c r="T58">
        <v>5.7</v>
      </c>
      <c r="U58">
        <v>4.9000000000000004</v>
      </c>
      <c r="V58">
        <v>0</v>
      </c>
      <c r="W58">
        <f t="shared" si="5"/>
        <v>692.63868067098974</v>
      </c>
      <c r="X58">
        <f t="shared" si="1"/>
        <v>27.093321349799201</v>
      </c>
    </row>
    <row r="59" spans="1:24" x14ac:dyDescent="0.2">
      <c r="A59" t="s">
        <v>129</v>
      </c>
      <c r="B59" t="s">
        <v>130</v>
      </c>
      <c r="C59">
        <v>1990</v>
      </c>
      <c r="D59">
        <v>1</v>
      </c>
      <c r="E59">
        <v>1</v>
      </c>
      <c r="F59">
        <v>82</v>
      </c>
      <c r="G59">
        <v>172</v>
      </c>
      <c r="H59">
        <f t="shared" si="0"/>
        <v>27.717685235262305</v>
      </c>
      <c r="I59">
        <v>93</v>
      </c>
      <c r="J59">
        <v>92</v>
      </c>
      <c r="K59">
        <v>6.12</v>
      </c>
      <c r="L59">
        <v>0</v>
      </c>
      <c r="M59">
        <v>0</v>
      </c>
      <c r="N59">
        <v>0</v>
      </c>
      <c r="O59">
        <v>127</v>
      </c>
      <c r="P59">
        <v>0</v>
      </c>
      <c r="Q59">
        <v>65</v>
      </c>
      <c r="R59">
        <v>25</v>
      </c>
      <c r="S59">
        <v>260</v>
      </c>
      <c r="T59">
        <v>5.7</v>
      </c>
      <c r="U59">
        <v>5.2</v>
      </c>
      <c r="V59">
        <v>0</v>
      </c>
      <c r="W59">
        <f t="shared" si="5"/>
        <v>806.5730489141348</v>
      </c>
      <c r="X59">
        <f t="shared" si="1"/>
        <v>49.110628398512084</v>
      </c>
    </row>
    <row r="60" spans="1:24" x14ac:dyDescent="0.2">
      <c r="A60" t="s">
        <v>131</v>
      </c>
      <c r="B60" t="s">
        <v>132</v>
      </c>
      <c r="C60">
        <v>1989</v>
      </c>
      <c r="D60">
        <v>1</v>
      </c>
      <c r="E60">
        <v>1</v>
      </c>
      <c r="F60">
        <v>71</v>
      </c>
      <c r="G60">
        <v>159</v>
      </c>
      <c r="H60">
        <f t="shared" si="0"/>
        <v>28.084332107116012</v>
      </c>
      <c r="I60">
        <v>98</v>
      </c>
      <c r="J60">
        <v>90</v>
      </c>
      <c r="K60">
        <v>4.93</v>
      </c>
      <c r="L60">
        <v>0</v>
      </c>
      <c r="M60">
        <v>0</v>
      </c>
      <c r="N60">
        <v>0</v>
      </c>
      <c r="O60">
        <v>258</v>
      </c>
      <c r="P60">
        <v>0</v>
      </c>
      <c r="Q60">
        <v>46</v>
      </c>
      <c r="R60">
        <v>87</v>
      </c>
      <c r="S60">
        <v>321</v>
      </c>
      <c r="T60">
        <v>7</v>
      </c>
      <c r="U60">
        <v>6.7</v>
      </c>
      <c r="V60">
        <v>0</v>
      </c>
      <c r="W60">
        <f t="shared" si="5"/>
        <v>917.24296331980986</v>
      </c>
      <c r="X60">
        <f t="shared" si="1"/>
        <v>86.42696568564871</v>
      </c>
    </row>
    <row r="61" spans="1:24" x14ac:dyDescent="0.2">
      <c r="A61" t="s">
        <v>133</v>
      </c>
      <c r="B61" t="s">
        <v>135</v>
      </c>
      <c r="C61">
        <v>1972</v>
      </c>
      <c r="D61">
        <v>1</v>
      </c>
      <c r="E61">
        <v>1</v>
      </c>
      <c r="F61">
        <v>66</v>
      </c>
      <c r="G61">
        <v>170</v>
      </c>
      <c r="H61">
        <f t="shared" si="0"/>
        <v>22.837370242214536</v>
      </c>
      <c r="I61">
        <v>86</v>
      </c>
      <c r="J61">
        <v>114</v>
      </c>
      <c r="K61">
        <v>6.05</v>
      </c>
      <c r="L61">
        <v>0</v>
      </c>
      <c r="M61">
        <v>1</v>
      </c>
      <c r="N61">
        <v>0</v>
      </c>
      <c r="O61">
        <v>111</v>
      </c>
      <c r="P61">
        <v>0</v>
      </c>
      <c r="Q61">
        <v>36</v>
      </c>
      <c r="R61">
        <v>33</v>
      </c>
      <c r="S61">
        <v>254</v>
      </c>
      <c r="T61">
        <v>4.5999999999999996</v>
      </c>
      <c r="U61">
        <v>5</v>
      </c>
      <c r="V61">
        <v>0</v>
      </c>
      <c r="W61">
        <f>LN(O61*J61/2)*I61</f>
        <v>752.72200634663204</v>
      </c>
      <c r="X61">
        <f t="shared" si="1"/>
        <v>26.621128687615361</v>
      </c>
    </row>
    <row r="62" spans="1:24" x14ac:dyDescent="0.2">
      <c r="A62" t="s">
        <v>134</v>
      </c>
      <c r="B62" t="s">
        <v>136</v>
      </c>
      <c r="C62">
        <v>1997</v>
      </c>
      <c r="D62">
        <v>1</v>
      </c>
      <c r="E62">
        <v>1</v>
      </c>
      <c r="F62">
        <v>65</v>
      </c>
      <c r="G62">
        <v>170</v>
      </c>
      <c r="H62">
        <f t="shared" si="0"/>
        <v>22.491349480968861</v>
      </c>
      <c r="I62">
        <v>80</v>
      </c>
      <c r="J62">
        <v>88</v>
      </c>
      <c r="K62">
        <v>5.26</v>
      </c>
      <c r="L62">
        <v>0</v>
      </c>
      <c r="M62">
        <v>0</v>
      </c>
      <c r="N62">
        <v>0</v>
      </c>
      <c r="O62">
        <v>116</v>
      </c>
      <c r="P62">
        <v>0</v>
      </c>
      <c r="Q62">
        <v>40</v>
      </c>
      <c r="R62">
        <v>83</v>
      </c>
      <c r="S62">
        <v>236</v>
      </c>
      <c r="T62">
        <v>6.1</v>
      </c>
      <c r="U62">
        <v>4.5999999999999996</v>
      </c>
      <c r="V62">
        <v>0</v>
      </c>
      <c r="W62">
        <f>LN(O62*J62/2)*I62</f>
        <v>683.02238600197006</v>
      </c>
      <c r="X62">
        <f t="shared" si="1"/>
        <v>33.719857986254986</v>
      </c>
    </row>
    <row r="63" spans="1:24" x14ac:dyDescent="0.2">
      <c r="A63" t="s">
        <v>137</v>
      </c>
      <c r="B63" t="s">
        <v>138</v>
      </c>
      <c r="C63">
        <v>1989</v>
      </c>
      <c r="D63">
        <v>1</v>
      </c>
      <c r="E63">
        <v>1</v>
      </c>
      <c r="F63">
        <v>105</v>
      </c>
      <c r="G63">
        <v>168</v>
      </c>
      <c r="H63">
        <f t="shared" si="0"/>
        <v>37.202380952380956</v>
      </c>
      <c r="I63">
        <v>112</v>
      </c>
      <c r="J63">
        <v>263</v>
      </c>
      <c r="K63">
        <v>5.92</v>
      </c>
      <c r="L63">
        <v>0</v>
      </c>
      <c r="M63">
        <v>1</v>
      </c>
      <c r="N63">
        <v>0</v>
      </c>
      <c r="O63">
        <v>207</v>
      </c>
      <c r="P63">
        <v>0</v>
      </c>
      <c r="Q63">
        <v>51</v>
      </c>
      <c r="R63">
        <v>56</v>
      </c>
      <c r="S63">
        <v>346</v>
      </c>
      <c r="T63">
        <v>8.6</v>
      </c>
      <c r="U63">
        <v>7.8</v>
      </c>
      <c r="V63">
        <v>0</v>
      </c>
      <c r="W63">
        <f>LN(O63*J63/2)*I63</f>
        <v>1143.7132722269171</v>
      </c>
      <c r="X63">
        <f t="shared" si="1"/>
        <v>96.559074367695473</v>
      </c>
    </row>
    <row r="64" spans="1:24" x14ac:dyDescent="0.2">
      <c r="A64" t="s">
        <v>745</v>
      </c>
      <c r="B64" t="s">
        <v>746</v>
      </c>
      <c r="C64">
        <v>1997</v>
      </c>
      <c r="D64">
        <v>1</v>
      </c>
      <c r="E64">
        <v>1</v>
      </c>
      <c r="F64">
        <v>75</v>
      </c>
      <c r="G64">
        <v>171</v>
      </c>
      <c r="H64">
        <f t="shared" si="0"/>
        <v>25.64891761567662</v>
      </c>
      <c r="I64">
        <v>92</v>
      </c>
      <c r="J64">
        <v>85</v>
      </c>
      <c r="K64">
        <v>5.72</v>
      </c>
      <c r="L64">
        <v>0</v>
      </c>
      <c r="M64">
        <v>0</v>
      </c>
      <c r="N64">
        <v>0</v>
      </c>
      <c r="O64">
        <v>123</v>
      </c>
      <c r="P64">
        <v>0</v>
      </c>
      <c r="Q64">
        <v>50</v>
      </c>
      <c r="R64">
        <v>98</v>
      </c>
      <c r="S64">
        <v>239</v>
      </c>
      <c r="T64">
        <v>13.4</v>
      </c>
      <c r="U64">
        <v>4.9000000000000004</v>
      </c>
      <c r="V64">
        <v>0</v>
      </c>
      <c r="W64">
        <f t="shared" ref="W64:W76" si="6">LN(O64*J64/2)*I64</f>
        <v>787.67533567985663</v>
      </c>
      <c r="X64">
        <f t="shared" si="1"/>
        <v>63.973586026558912</v>
      </c>
    </row>
    <row r="65" spans="1:24" x14ac:dyDescent="0.2">
      <c r="A65" t="s">
        <v>141</v>
      </c>
      <c r="B65" t="s">
        <v>142</v>
      </c>
      <c r="C65">
        <v>1962</v>
      </c>
      <c r="D65">
        <v>0</v>
      </c>
      <c r="E65">
        <v>1</v>
      </c>
      <c r="F65">
        <v>60</v>
      </c>
      <c r="G65">
        <v>162</v>
      </c>
      <c r="H65">
        <f t="shared" si="0"/>
        <v>22.862368541380881</v>
      </c>
      <c r="I65">
        <v>85</v>
      </c>
      <c r="J65">
        <v>94</v>
      </c>
      <c r="K65">
        <v>6.28</v>
      </c>
      <c r="L65">
        <v>0</v>
      </c>
      <c r="M65">
        <v>0</v>
      </c>
      <c r="N65">
        <v>0</v>
      </c>
      <c r="O65">
        <v>181</v>
      </c>
      <c r="P65">
        <v>0</v>
      </c>
      <c r="Q65">
        <v>59</v>
      </c>
      <c r="R65">
        <v>15</v>
      </c>
      <c r="S65">
        <v>321</v>
      </c>
      <c r="T65">
        <v>6</v>
      </c>
      <c r="U65">
        <v>6.7</v>
      </c>
      <c r="V65">
        <v>0</v>
      </c>
      <c r="W65">
        <f t="shared" si="6"/>
        <v>769.13479380295018</v>
      </c>
      <c r="X65">
        <f t="shared" si="1"/>
        <v>23.801683468123866</v>
      </c>
    </row>
    <row r="66" spans="1:24" x14ac:dyDescent="0.2">
      <c r="A66" t="s">
        <v>143</v>
      </c>
      <c r="B66" t="s">
        <v>144</v>
      </c>
      <c r="C66">
        <v>1964</v>
      </c>
      <c r="D66">
        <v>1</v>
      </c>
      <c r="E66">
        <v>1</v>
      </c>
      <c r="F66">
        <v>80</v>
      </c>
      <c r="G66">
        <v>175</v>
      </c>
      <c r="H66">
        <f t="shared" si="0"/>
        <v>26.122448979591837</v>
      </c>
      <c r="I66">
        <v>92</v>
      </c>
      <c r="J66">
        <v>97</v>
      </c>
      <c r="K66">
        <v>6.05</v>
      </c>
      <c r="L66">
        <v>0</v>
      </c>
      <c r="M66">
        <v>1</v>
      </c>
      <c r="N66">
        <v>1</v>
      </c>
      <c r="O66">
        <v>189</v>
      </c>
      <c r="P66">
        <v>0</v>
      </c>
      <c r="Q66">
        <v>51</v>
      </c>
      <c r="R66">
        <v>66</v>
      </c>
      <c r="S66">
        <v>294</v>
      </c>
      <c r="T66">
        <v>7.9</v>
      </c>
      <c r="U66">
        <v>6</v>
      </c>
      <c r="V66">
        <v>0</v>
      </c>
      <c r="W66">
        <f t="shared" si="6"/>
        <v>839.34459479628333</v>
      </c>
      <c r="X66">
        <f t="shared" si="1"/>
        <v>68.256342494443942</v>
      </c>
    </row>
    <row r="67" spans="1:24" x14ac:dyDescent="0.2">
      <c r="A67" t="s">
        <v>145</v>
      </c>
      <c r="B67" t="s">
        <v>146</v>
      </c>
      <c r="C67">
        <v>1996</v>
      </c>
      <c r="D67">
        <v>1</v>
      </c>
      <c r="E67">
        <v>1</v>
      </c>
      <c r="F67">
        <v>63</v>
      </c>
      <c r="G67">
        <v>158</v>
      </c>
      <c r="H67">
        <f t="shared" si="0"/>
        <v>25.236340330075304</v>
      </c>
      <c r="I67">
        <v>85</v>
      </c>
      <c r="J67">
        <v>90</v>
      </c>
      <c r="K67">
        <v>5.7</v>
      </c>
      <c r="L67">
        <v>0</v>
      </c>
      <c r="M67">
        <v>0</v>
      </c>
      <c r="N67">
        <v>0</v>
      </c>
      <c r="O67">
        <v>128</v>
      </c>
      <c r="P67">
        <v>0</v>
      </c>
      <c r="Q67">
        <v>64</v>
      </c>
      <c r="R67">
        <v>26</v>
      </c>
      <c r="S67">
        <v>244</v>
      </c>
      <c r="T67">
        <v>6.6</v>
      </c>
      <c r="U67">
        <v>4.9000000000000004</v>
      </c>
      <c r="V67">
        <v>0</v>
      </c>
      <c r="W67">
        <f t="shared" si="6"/>
        <v>735.98888406364472</v>
      </c>
      <c r="X67">
        <f>100*EXP(0.953*LN(O67)+0.139*H67+0.718*LN(R67)+0.053*I67-15.745)/(1+EXP(0.953*LN(O67)+0.139*H67+0.718*LN(R67)+0.053*I67-15.745))</f>
        <v>31.67278103481636</v>
      </c>
    </row>
    <row r="68" spans="1:24" x14ac:dyDescent="0.2">
      <c r="A68" t="s">
        <v>147</v>
      </c>
      <c r="B68" t="s">
        <v>148</v>
      </c>
      <c r="C68">
        <v>1979</v>
      </c>
      <c r="D68">
        <v>1</v>
      </c>
      <c r="E68">
        <v>1</v>
      </c>
      <c r="F68">
        <v>70</v>
      </c>
      <c r="G68">
        <v>170</v>
      </c>
      <c r="H68">
        <f t="shared" ref="H68:H298" si="7">F68/((G68/100)*(G68/100))</f>
        <v>24.221453287197235</v>
      </c>
      <c r="I68">
        <v>86</v>
      </c>
      <c r="J68">
        <v>94</v>
      </c>
      <c r="K68">
        <v>5.52</v>
      </c>
      <c r="L68">
        <v>0</v>
      </c>
      <c r="M68">
        <v>0</v>
      </c>
      <c r="N68">
        <v>0</v>
      </c>
      <c r="O68">
        <v>185</v>
      </c>
      <c r="P68">
        <v>0</v>
      </c>
      <c r="Q68">
        <v>54</v>
      </c>
      <c r="R68">
        <v>82</v>
      </c>
      <c r="S68">
        <v>244</v>
      </c>
      <c r="T68">
        <v>4.0999999999999996</v>
      </c>
      <c r="U68">
        <v>4.9000000000000004</v>
      </c>
      <c r="V68">
        <v>0</v>
      </c>
      <c r="W68">
        <f t="shared" si="6"/>
        <v>780.06329470380092</v>
      </c>
      <c r="X68">
        <f t="shared" si="1"/>
        <v>57.903312255947576</v>
      </c>
    </row>
    <row r="69" spans="1:24" x14ac:dyDescent="0.2">
      <c r="A69" t="s">
        <v>149</v>
      </c>
      <c r="B69" t="s">
        <v>150</v>
      </c>
      <c r="C69">
        <v>1988</v>
      </c>
      <c r="D69">
        <v>1</v>
      </c>
      <c r="E69">
        <v>1</v>
      </c>
      <c r="F69">
        <v>68</v>
      </c>
      <c r="G69">
        <v>166</v>
      </c>
      <c r="H69">
        <f t="shared" si="7"/>
        <v>24.677021338365513</v>
      </c>
      <c r="I69">
        <v>86</v>
      </c>
      <c r="J69">
        <v>96</v>
      </c>
      <c r="K69">
        <v>5.78</v>
      </c>
      <c r="L69">
        <v>0</v>
      </c>
      <c r="M69">
        <v>0</v>
      </c>
      <c r="N69">
        <v>0</v>
      </c>
      <c r="O69">
        <v>250</v>
      </c>
      <c r="P69">
        <v>0</v>
      </c>
      <c r="Q69">
        <v>40</v>
      </c>
      <c r="R69">
        <v>58</v>
      </c>
      <c r="S69">
        <v>321</v>
      </c>
      <c r="T69">
        <v>7</v>
      </c>
      <c r="U69">
        <v>6.9</v>
      </c>
      <c r="V69">
        <v>0</v>
      </c>
      <c r="W69">
        <f t="shared" si="6"/>
        <v>807.76892587423174</v>
      </c>
      <c r="X69">
        <f t="shared" ref="X69:X82" si="8">100*EXP(0.953*LN(O69)+0.139*H69+0.718*LN(R69)+0.053*I69-15.745)/(1+EXP(0.953*LN(O69)+0.139*H69+0.718*LN(R69)+0.053*I69-15.745))</f>
        <v>60.359243384655386</v>
      </c>
    </row>
    <row r="70" spans="1:24" x14ac:dyDescent="0.2">
      <c r="A70" t="s">
        <v>151</v>
      </c>
      <c r="B70" t="s">
        <v>152</v>
      </c>
      <c r="C70">
        <v>1975</v>
      </c>
      <c r="D70">
        <v>1</v>
      </c>
      <c r="E70">
        <v>1</v>
      </c>
      <c r="F70">
        <v>62</v>
      </c>
      <c r="G70">
        <v>160</v>
      </c>
      <c r="H70">
        <f t="shared" si="7"/>
        <v>24.218749999999996</v>
      </c>
      <c r="I70">
        <v>84</v>
      </c>
      <c r="J70">
        <v>90</v>
      </c>
      <c r="K70">
        <v>5.82</v>
      </c>
      <c r="L70">
        <v>0</v>
      </c>
      <c r="M70">
        <v>0</v>
      </c>
      <c r="N70">
        <v>0</v>
      </c>
      <c r="O70">
        <v>283</v>
      </c>
      <c r="P70">
        <v>1</v>
      </c>
      <c r="Q70">
        <v>51</v>
      </c>
      <c r="R70">
        <v>29</v>
      </c>
      <c r="S70">
        <v>283</v>
      </c>
      <c r="T70">
        <v>5.3</v>
      </c>
      <c r="U70">
        <v>5.7</v>
      </c>
      <c r="V70">
        <v>0</v>
      </c>
      <c r="W70">
        <f t="shared" si="6"/>
        <v>793.97718854273876</v>
      </c>
      <c r="X70">
        <f t="shared" si="8"/>
        <v>46.785329187204475</v>
      </c>
    </row>
    <row r="71" spans="1:24" x14ac:dyDescent="0.2">
      <c r="A71" t="s">
        <v>153</v>
      </c>
      <c r="B71" t="s">
        <v>155</v>
      </c>
      <c r="C71">
        <v>1993</v>
      </c>
      <c r="D71">
        <v>1</v>
      </c>
      <c r="E71">
        <v>1</v>
      </c>
      <c r="F71">
        <v>64</v>
      </c>
      <c r="G71">
        <v>162</v>
      </c>
      <c r="H71">
        <f t="shared" si="7"/>
        <v>24.386526444139609</v>
      </c>
      <c r="I71">
        <v>80</v>
      </c>
      <c r="J71">
        <v>99</v>
      </c>
      <c r="K71">
        <v>5.41</v>
      </c>
      <c r="L71">
        <v>0</v>
      </c>
      <c r="M71">
        <v>0</v>
      </c>
      <c r="N71">
        <v>0</v>
      </c>
      <c r="O71">
        <v>142</v>
      </c>
      <c r="P71">
        <v>0</v>
      </c>
      <c r="Q71">
        <v>49</v>
      </c>
      <c r="R71">
        <v>28</v>
      </c>
      <c r="S71">
        <v>324</v>
      </c>
      <c r="T71">
        <v>4.4000000000000004</v>
      </c>
      <c r="U71">
        <v>7.3</v>
      </c>
      <c r="V71">
        <v>0</v>
      </c>
      <c r="W71">
        <f t="shared" si="6"/>
        <v>708.62397817407236</v>
      </c>
      <c r="X71">
        <f t="shared" si="8"/>
        <v>26.897154337163247</v>
      </c>
    </row>
    <row r="72" spans="1:24" x14ac:dyDescent="0.2">
      <c r="A72" t="s">
        <v>154</v>
      </c>
      <c r="B72" t="s">
        <v>156</v>
      </c>
      <c r="C72">
        <v>1988</v>
      </c>
      <c r="D72">
        <v>1</v>
      </c>
      <c r="E72">
        <v>1</v>
      </c>
      <c r="F72">
        <v>74</v>
      </c>
      <c r="G72">
        <v>165</v>
      </c>
      <c r="H72">
        <f t="shared" si="7"/>
        <v>27.180899908172638</v>
      </c>
      <c r="I72">
        <v>93</v>
      </c>
      <c r="J72">
        <v>90</v>
      </c>
      <c r="K72">
        <v>5.27</v>
      </c>
      <c r="L72">
        <v>0</v>
      </c>
      <c r="M72">
        <v>0</v>
      </c>
      <c r="N72">
        <v>0</v>
      </c>
      <c r="O72">
        <v>122</v>
      </c>
      <c r="P72">
        <v>0</v>
      </c>
      <c r="Q72">
        <v>53</v>
      </c>
      <c r="R72">
        <v>37</v>
      </c>
      <c r="S72">
        <v>311</v>
      </c>
      <c r="T72">
        <v>7.6</v>
      </c>
      <c r="U72">
        <v>6.4</v>
      </c>
      <c r="V72">
        <v>0</v>
      </c>
      <c r="W72">
        <f t="shared" si="6"/>
        <v>800.79356870883248</v>
      </c>
      <c r="X72">
        <f t="shared" si="8"/>
        <v>53.320510644598485</v>
      </c>
    </row>
    <row r="73" spans="1:24" x14ac:dyDescent="0.2">
      <c r="A73" t="s">
        <v>157</v>
      </c>
      <c r="B73" t="s">
        <v>158</v>
      </c>
      <c r="C73">
        <v>1978</v>
      </c>
      <c r="D73">
        <v>0</v>
      </c>
      <c r="E73">
        <v>1</v>
      </c>
      <c r="F73">
        <v>55</v>
      </c>
      <c r="G73">
        <v>150</v>
      </c>
      <c r="H73">
        <f t="shared" si="7"/>
        <v>24.444444444444443</v>
      </c>
      <c r="I73">
        <v>81</v>
      </c>
      <c r="J73">
        <v>103</v>
      </c>
      <c r="K73">
        <v>6.23</v>
      </c>
      <c r="L73">
        <v>0</v>
      </c>
      <c r="M73">
        <v>0</v>
      </c>
      <c r="N73">
        <v>0</v>
      </c>
      <c r="O73">
        <v>178</v>
      </c>
      <c r="P73">
        <v>0</v>
      </c>
      <c r="Q73">
        <v>62</v>
      </c>
      <c r="R73">
        <v>63</v>
      </c>
      <c r="S73">
        <v>277</v>
      </c>
      <c r="T73">
        <v>4.5999999999999996</v>
      </c>
      <c r="U73">
        <v>5.7</v>
      </c>
      <c r="V73">
        <v>0</v>
      </c>
      <c r="W73">
        <f t="shared" si="6"/>
        <v>738.99259399490381</v>
      </c>
      <c r="X73">
        <f t="shared" si="8"/>
        <v>46.475560590840551</v>
      </c>
    </row>
    <row r="74" spans="1:24" x14ac:dyDescent="0.2">
      <c r="A74" t="s">
        <v>159</v>
      </c>
      <c r="B74" t="s">
        <v>160</v>
      </c>
      <c r="C74">
        <v>2002</v>
      </c>
      <c r="D74">
        <v>1</v>
      </c>
      <c r="E74">
        <v>1</v>
      </c>
      <c r="F74">
        <v>86</v>
      </c>
      <c r="G74">
        <v>182</v>
      </c>
      <c r="H74">
        <f t="shared" si="7"/>
        <v>25.963047941069917</v>
      </c>
      <c r="I74">
        <v>95</v>
      </c>
      <c r="J74">
        <v>101</v>
      </c>
      <c r="K74">
        <v>5.27</v>
      </c>
      <c r="L74">
        <v>0</v>
      </c>
      <c r="M74">
        <v>0</v>
      </c>
      <c r="N74">
        <v>0</v>
      </c>
      <c r="O74">
        <v>159</v>
      </c>
      <c r="P74">
        <v>0</v>
      </c>
      <c r="Q74">
        <v>62</v>
      </c>
      <c r="R74">
        <v>23</v>
      </c>
      <c r="S74">
        <v>279</v>
      </c>
      <c r="T74">
        <v>5.3</v>
      </c>
      <c r="U74">
        <v>5.6</v>
      </c>
      <c r="V74">
        <v>0</v>
      </c>
      <c r="W74">
        <f t="shared" si="6"/>
        <v>854.13336615764672</v>
      </c>
      <c r="X74">
        <f t="shared" si="8"/>
        <v>49.52037010137331</v>
      </c>
    </row>
    <row r="75" spans="1:24" x14ac:dyDescent="0.2">
      <c r="A75" t="s">
        <v>161</v>
      </c>
      <c r="B75" t="s">
        <v>162</v>
      </c>
      <c r="C75">
        <v>2001</v>
      </c>
      <c r="D75">
        <v>1</v>
      </c>
      <c r="E75">
        <v>1</v>
      </c>
      <c r="F75">
        <v>55</v>
      </c>
      <c r="G75">
        <v>166</v>
      </c>
      <c r="H75">
        <f t="shared" si="7"/>
        <v>19.959355494266223</v>
      </c>
      <c r="I75">
        <v>75</v>
      </c>
      <c r="J75">
        <v>88</v>
      </c>
      <c r="K75">
        <v>5.63</v>
      </c>
      <c r="L75">
        <v>0</v>
      </c>
      <c r="M75">
        <v>0</v>
      </c>
      <c r="N75">
        <v>0</v>
      </c>
      <c r="O75">
        <v>354</v>
      </c>
      <c r="P75">
        <v>0</v>
      </c>
      <c r="Q75">
        <v>40</v>
      </c>
      <c r="R75">
        <v>49</v>
      </c>
      <c r="S75">
        <v>213</v>
      </c>
      <c r="T75">
        <v>5.0999999999999996</v>
      </c>
      <c r="U75">
        <v>4.4000000000000004</v>
      </c>
      <c r="V75">
        <v>0</v>
      </c>
      <c r="W75">
        <f t="shared" si="6"/>
        <v>724.01149102890258</v>
      </c>
      <c r="X75">
        <f t="shared" si="8"/>
        <v>35.25423443192367</v>
      </c>
    </row>
    <row r="76" spans="1:24" x14ac:dyDescent="0.2">
      <c r="A76" t="s">
        <v>163</v>
      </c>
      <c r="B76" t="s">
        <v>164</v>
      </c>
      <c r="C76">
        <v>2002</v>
      </c>
      <c r="D76">
        <v>1</v>
      </c>
      <c r="E76">
        <v>1</v>
      </c>
      <c r="F76">
        <v>67</v>
      </c>
      <c r="G76">
        <v>170</v>
      </c>
      <c r="H76">
        <f t="shared" si="7"/>
        <v>23.183391003460208</v>
      </c>
      <c r="I76">
        <v>82</v>
      </c>
      <c r="J76">
        <v>92</v>
      </c>
      <c r="K76">
        <v>5.63</v>
      </c>
      <c r="L76">
        <v>0</v>
      </c>
      <c r="M76">
        <v>0</v>
      </c>
      <c r="N76">
        <v>0</v>
      </c>
      <c r="O76">
        <v>119</v>
      </c>
      <c r="P76">
        <v>0</v>
      </c>
      <c r="Q76">
        <v>53</v>
      </c>
      <c r="R76">
        <v>36</v>
      </c>
      <c r="S76">
        <v>267</v>
      </c>
      <c r="T76">
        <v>5</v>
      </c>
      <c r="U76">
        <v>5.3</v>
      </c>
      <c r="V76">
        <v>0</v>
      </c>
      <c r="W76">
        <f t="shared" si="6"/>
        <v>705.83672094725114</v>
      </c>
      <c r="X76">
        <f t="shared" si="8"/>
        <v>25.940999623646963</v>
      </c>
    </row>
    <row r="77" spans="1:24" x14ac:dyDescent="0.2">
      <c r="A77" t="s">
        <v>165</v>
      </c>
      <c r="B77" t="s">
        <v>166</v>
      </c>
      <c r="C77">
        <v>2009</v>
      </c>
      <c r="D77">
        <v>1</v>
      </c>
      <c r="E77">
        <v>1</v>
      </c>
      <c r="F77">
        <v>78</v>
      </c>
      <c r="G77">
        <v>168</v>
      </c>
      <c r="H77">
        <f t="shared" si="7"/>
        <v>27.636054421768712</v>
      </c>
      <c r="I77">
        <v>96</v>
      </c>
      <c r="J77">
        <v>92</v>
      </c>
      <c r="K77">
        <v>5.32</v>
      </c>
      <c r="L77">
        <v>0</v>
      </c>
      <c r="M77">
        <v>0</v>
      </c>
      <c r="N77">
        <v>0</v>
      </c>
      <c r="O77">
        <v>76</v>
      </c>
      <c r="P77">
        <v>0</v>
      </c>
      <c r="Q77">
        <v>51</v>
      </c>
      <c r="R77">
        <v>35</v>
      </c>
      <c r="S77">
        <v>308</v>
      </c>
      <c r="T77">
        <v>5.3</v>
      </c>
      <c r="U77">
        <v>6.3</v>
      </c>
      <c r="V77">
        <v>0</v>
      </c>
      <c r="W77">
        <f>LN(O77*J77/2)*I77</f>
        <v>783.29997473044091</v>
      </c>
      <c r="X77">
        <f t="shared" si="8"/>
        <v>46.613700384990231</v>
      </c>
    </row>
    <row r="78" spans="1:24" x14ac:dyDescent="0.2">
      <c r="A78" t="s">
        <v>167</v>
      </c>
      <c r="B78" t="s">
        <v>168</v>
      </c>
      <c r="C78">
        <v>1984</v>
      </c>
      <c r="D78">
        <v>1</v>
      </c>
      <c r="E78">
        <v>1</v>
      </c>
      <c r="F78">
        <v>70</v>
      </c>
      <c r="G78">
        <v>176</v>
      </c>
      <c r="H78">
        <f t="shared" si="7"/>
        <v>22.598140495867771</v>
      </c>
      <c r="I78">
        <v>92</v>
      </c>
      <c r="J78">
        <v>94</v>
      </c>
      <c r="K78">
        <v>5.58</v>
      </c>
      <c r="L78">
        <v>0</v>
      </c>
      <c r="M78">
        <v>0</v>
      </c>
      <c r="N78">
        <v>0</v>
      </c>
      <c r="O78">
        <v>511</v>
      </c>
      <c r="P78">
        <v>0</v>
      </c>
      <c r="Q78">
        <v>37</v>
      </c>
      <c r="R78">
        <v>45</v>
      </c>
      <c r="S78">
        <v>317</v>
      </c>
      <c r="T78">
        <v>7.4</v>
      </c>
      <c r="U78">
        <v>6.7</v>
      </c>
      <c r="V78">
        <v>0</v>
      </c>
      <c r="W78">
        <f>LN(O78*J78/2)*I78</f>
        <v>927.95958165606623</v>
      </c>
      <c r="X78">
        <f t="shared" si="8"/>
        <v>72.083060479934176</v>
      </c>
    </row>
    <row r="79" spans="1:24" x14ac:dyDescent="0.2">
      <c r="A79" t="s">
        <v>169</v>
      </c>
      <c r="B79" t="s">
        <v>170</v>
      </c>
      <c r="C79">
        <v>1973</v>
      </c>
      <c r="D79">
        <v>1</v>
      </c>
      <c r="E79">
        <v>1</v>
      </c>
      <c r="F79">
        <v>68</v>
      </c>
      <c r="G79">
        <v>163</v>
      </c>
      <c r="H79">
        <f t="shared" si="7"/>
        <v>25.59373706198954</v>
      </c>
      <c r="I79">
        <v>89</v>
      </c>
      <c r="J79">
        <v>97</v>
      </c>
      <c r="K79">
        <v>5.43</v>
      </c>
      <c r="L79">
        <v>0</v>
      </c>
      <c r="M79">
        <v>0</v>
      </c>
      <c r="N79">
        <v>0</v>
      </c>
      <c r="O79">
        <v>131</v>
      </c>
      <c r="P79">
        <v>0</v>
      </c>
      <c r="Q79">
        <v>45</v>
      </c>
      <c r="R79">
        <v>64</v>
      </c>
      <c r="S79">
        <v>255</v>
      </c>
      <c r="T79">
        <v>6.2</v>
      </c>
      <c r="U79">
        <v>5.0999999999999996</v>
      </c>
      <c r="V79">
        <v>0</v>
      </c>
      <c r="W79">
        <f t="shared" ref="W79:W84" si="9">LN(O79*J79/2)*I79</f>
        <v>779.35173978186833</v>
      </c>
      <c r="X79">
        <f t="shared" si="8"/>
        <v>54.032983388604805</v>
      </c>
    </row>
    <row r="80" spans="1:24" x14ac:dyDescent="0.2">
      <c r="A80" t="s">
        <v>171</v>
      </c>
      <c r="B80" t="s">
        <v>172</v>
      </c>
      <c r="C80">
        <v>1987</v>
      </c>
      <c r="D80">
        <v>1</v>
      </c>
      <c r="E80">
        <v>1</v>
      </c>
      <c r="F80">
        <v>71</v>
      </c>
      <c r="G80">
        <v>163</v>
      </c>
      <c r="H80">
        <f t="shared" si="7"/>
        <v>26.722872520606725</v>
      </c>
      <c r="I80">
        <v>96</v>
      </c>
      <c r="J80">
        <v>81</v>
      </c>
      <c r="K80">
        <v>6.12</v>
      </c>
      <c r="L80">
        <v>0</v>
      </c>
      <c r="M80">
        <v>0</v>
      </c>
      <c r="N80">
        <v>0</v>
      </c>
      <c r="O80">
        <v>202</v>
      </c>
      <c r="P80">
        <v>0</v>
      </c>
      <c r="Q80">
        <v>55</v>
      </c>
      <c r="R80">
        <v>49</v>
      </c>
      <c r="S80">
        <v>324</v>
      </c>
      <c r="T80">
        <v>10.1</v>
      </c>
      <c r="U80">
        <v>6.9</v>
      </c>
      <c r="V80">
        <v>0</v>
      </c>
      <c r="W80">
        <f t="shared" si="9"/>
        <v>864.91868846531509</v>
      </c>
      <c r="X80">
        <f t="shared" si="8"/>
        <v>71.311993262973701</v>
      </c>
    </row>
    <row r="81" spans="1:24" x14ac:dyDescent="0.2">
      <c r="A81" t="s">
        <v>173</v>
      </c>
      <c r="B81" t="s">
        <v>174</v>
      </c>
      <c r="C81">
        <v>1980</v>
      </c>
      <c r="D81">
        <v>1</v>
      </c>
      <c r="E81">
        <v>1</v>
      </c>
      <c r="F81">
        <v>60</v>
      </c>
      <c r="G81">
        <v>160</v>
      </c>
      <c r="H81">
        <f t="shared" si="7"/>
        <v>23.437499999999996</v>
      </c>
      <c r="I81">
        <v>84</v>
      </c>
      <c r="J81">
        <v>92</v>
      </c>
      <c r="K81">
        <v>5.85</v>
      </c>
      <c r="L81">
        <v>0</v>
      </c>
      <c r="M81">
        <v>0</v>
      </c>
      <c r="N81">
        <v>1</v>
      </c>
      <c r="O81">
        <v>243</v>
      </c>
      <c r="P81">
        <v>1</v>
      </c>
      <c r="Q81">
        <v>32</v>
      </c>
      <c r="R81">
        <v>38</v>
      </c>
      <c r="S81">
        <v>324</v>
      </c>
      <c r="T81">
        <v>6.7</v>
      </c>
      <c r="U81">
        <v>6.9</v>
      </c>
      <c r="V81">
        <v>0</v>
      </c>
      <c r="W81">
        <f t="shared" si="9"/>
        <v>783.02303854569016</v>
      </c>
      <c r="X81">
        <f t="shared" si="8"/>
        <v>45.301080250200762</v>
      </c>
    </row>
    <row r="82" spans="1:24" x14ac:dyDescent="0.2">
      <c r="A82" t="s">
        <v>175</v>
      </c>
      <c r="B82" t="s">
        <v>176</v>
      </c>
      <c r="C82">
        <v>1971</v>
      </c>
      <c r="D82">
        <v>1</v>
      </c>
      <c r="E82">
        <v>1</v>
      </c>
      <c r="F82">
        <v>66</v>
      </c>
      <c r="G82">
        <v>163</v>
      </c>
      <c r="H82">
        <f t="shared" si="7"/>
        <v>24.840980089578082</v>
      </c>
      <c r="I82">
        <v>89</v>
      </c>
      <c r="J82">
        <v>97</v>
      </c>
      <c r="K82">
        <v>5.43</v>
      </c>
      <c r="L82">
        <v>0</v>
      </c>
      <c r="M82">
        <v>0</v>
      </c>
      <c r="N82">
        <v>0</v>
      </c>
      <c r="O82">
        <v>204</v>
      </c>
      <c r="P82">
        <v>0</v>
      </c>
      <c r="Q82">
        <v>42</v>
      </c>
      <c r="R82">
        <v>30</v>
      </c>
      <c r="S82">
        <v>289</v>
      </c>
      <c r="T82">
        <v>7.1</v>
      </c>
      <c r="U82">
        <v>6</v>
      </c>
      <c r="V82">
        <v>0</v>
      </c>
      <c r="W82">
        <f t="shared" si="9"/>
        <v>818.77185746910129</v>
      </c>
      <c r="X82">
        <f t="shared" si="8"/>
        <v>48.378676285353713</v>
      </c>
    </row>
    <row r="83" spans="1:24" x14ac:dyDescent="0.2">
      <c r="A83" t="s">
        <v>177</v>
      </c>
      <c r="B83" t="s">
        <v>178</v>
      </c>
      <c r="C83">
        <v>1978</v>
      </c>
      <c r="D83">
        <v>0</v>
      </c>
      <c r="E83">
        <v>1</v>
      </c>
      <c r="F83">
        <v>56</v>
      </c>
      <c r="G83">
        <v>148</v>
      </c>
      <c r="H83">
        <f t="shared" si="7"/>
        <v>25.566106647187731</v>
      </c>
      <c r="I83">
        <v>79</v>
      </c>
      <c r="J83">
        <v>106</v>
      </c>
      <c r="K83">
        <v>5.69</v>
      </c>
      <c r="L83">
        <v>0</v>
      </c>
      <c r="M83">
        <v>0</v>
      </c>
      <c r="N83">
        <v>0</v>
      </c>
      <c r="O83">
        <v>69</v>
      </c>
      <c r="P83">
        <v>0</v>
      </c>
      <c r="Q83">
        <v>73</v>
      </c>
      <c r="R83">
        <v>15</v>
      </c>
      <c r="S83">
        <v>260</v>
      </c>
      <c r="T83">
        <v>4.9000000000000004</v>
      </c>
      <c r="U83">
        <v>5.3</v>
      </c>
      <c r="V83">
        <v>0</v>
      </c>
      <c r="W83">
        <f t="shared" si="9"/>
        <v>648.14747503380113</v>
      </c>
      <c r="X83">
        <f>100*EXP(0.953*LN(O83)+0.139*H83+0.718*LN(R83)+0.053*I83-15.745)/(1+EXP(0.953*LN(O83)+0.139*H83+0.718*LN(R83)+0.053*I83-15.745))</f>
        <v>11.662072531712104</v>
      </c>
    </row>
    <row r="84" spans="1:24" x14ac:dyDescent="0.2">
      <c r="A84" t="s">
        <v>179</v>
      </c>
      <c r="B84" t="s">
        <v>180</v>
      </c>
      <c r="C84">
        <v>1986</v>
      </c>
      <c r="D84">
        <v>1</v>
      </c>
      <c r="E84">
        <v>1</v>
      </c>
      <c r="F84">
        <v>68</v>
      </c>
      <c r="G84">
        <v>163</v>
      </c>
      <c r="H84">
        <f t="shared" si="7"/>
        <v>25.59373706198954</v>
      </c>
      <c r="I84">
        <v>87</v>
      </c>
      <c r="J84">
        <v>97</v>
      </c>
      <c r="K84">
        <v>6.21</v>
      </c>
      <c r="L84">
        <v>0</v>
      </c>
      <c r="M84">
        <v>0</v>
      </c>
      <c r="N84">
        <v>1</v>
      </c>
      <c r="O84">
        <v>184</v>
      </c>
      <c r="P84">
        <v>0</v>
      </c>
      <c r="Q84">
        <v>45</v>
      </c>
      <c r="R84">
        <v>96</v>
      </c>
      <c r="S84">
        <v>227</v>
      </c>
      <c r="T84">
        <v>6.8</v>
      </c>
      <c r="U84">
        <v>4.5999999999999996</v>
      </c>
      <c r="V84">
        <v>0</v>
      </c>
      <c r="W84">
        <f t="shared" si="9"/>
        <v>791.39546133306078</v>
      </c>
      <c r="X84">
        <f t="shared" ref="X84:X147" si="10">100*EXP(0.953*LN(O84)+0.139*H84+0.718*LN(R84)+0.053*I84-15.745)/(1+EXP(0.953*LN(O84)+0.139*H84+0.718*LN(R84)+0.053*I84-15.745))</f>
        <v>66.162971212062956</v>
      </c>
    </row>
    <row r="85" spans="1:24" x14ac:dyDescent="0.2">
      <c r="A85" t="s">
        <v>181</v>
      </c>
      <c r="B85" t="s">
        <v>182</v>
      </c>
      <c r="C85">
        <v>1981</v>
      </c>
      <c r="D85">
        <v>1</v>
      </c>
      <c r="E85">
        <v>1</v>
      </c>
      <c r="F85">
        <v>98</v>
      </c>
      <c r="G85">
        <v>168</v>
      </c>
      <c r="H85">
        <f t="shared" si="7"/>
        <v>34.722222222222229</v>
      </c>
      <c r="I85">
        <v>113</v>
      </c>
      <c r="J85">
        <v>151</v>
      </c>
      <c r="K85">
        <v>8.1</v>
      </c>
      <c r="L85">
        <v>1</v>
      </c>
      <c r="M85">
        <v>1</v>
      </c>
      <c r="N85">
        <v>0</v>
      </c>
      <c r="O85">
        <v>158</v>
      </c>
      <c r="P85">
        <v>1</v>
      </c>
      <c r="Q85">
        <v>43</v>
      </c>
      <c r="R85">
        <v>25</v>
      </c>
      <c r="S85">
        <v>329</v>
      </c>
      <c r="T85">
        <v>9.4</v>
      </c>
      <c r="U85">
        <v>7.1</v>
      </c>
      <c r="V85">
        <v>0</v>
      </c>
      <c r="W85">
        <f>LN(O85*J85/2)*I85</f>
        <v>1060.7002288888598</v>
      </c>
      <c r="X85">
        <f t="shared" si="10"/>
        <v>90.080442807263296</v>
      </c>
    </row>
    <row r="86" spans="1:24" x14ac:dyDescent="0.2">
      <c r="A86" t="s">
        <v>183</v>
      </c>
      <c r="B86" t="s">
        <v>184</v>
      </c>
      <c r="C86">
        <v>1984</v>
      </c>
      <c r="D86">
        <v>1</v>
      </c>
      <c r="E86">
        <v>1</v>
      </c>
      <c r="F86">
        <v>66</v>
      </c>
      <c r="G86">
        <v>169</v>
      </c>
      <c r="H86">
        <f t="shared" si="7"/>
        <v>23.1084345786212</v>
      </c>
      <c r="I86">
        <v>88</v>
      </c>
      <c r="J86">
        <v>88</v>
      </c>
      <c r="K86">
        <v>5.64</v>
      </c>
      <c r="L86">
        <v>0</v>
      </c>
      <c r="M86">
        <v>0</v>
      </c>
      <c r="N86">
        <v>0</v>
      </c>
      <c r="O86">
        <v>281</v>
      </c>
      <c r="P86">
        <v>0</v>
      </c>
      <c r="Q86">
        <v>39</v>
      </c>
      <c r="R86">
        <v>27</v>
      </c>
      <c r="S86">
        <v>320</v>
      </c>
      <c r="T86">
        <v>7.6</v>
      </c>
      <c r="U86">
        <v>6.7</v>
      </c>
      <c r="V86">
        <v>0</v>
      </c>
      <c r="W86">
        <f>LN(O86*J86/2)*I86</f>
        <v>829.18389868617658</v>
      </c>
      <c r="X86">
        <f t="shared" si="10"/>
        <v>46.775363847997532</v>
      </c>
    </row>
    <row r="87" spans="1:24" x14ac:dyDescent="0.2">
      <c r="A87" t="s">
        <v>185</v>
      </c>
      <c r="B87" t="s">
        <v>186</v>
      </c>
      <c r="C87">
        <v>1965</v>
      </c>
      <c r="D87">
        <v>1</v>
      </c>
      <c r="E87">
        <v>1</v>
      </c>
      <c r="F87">
        <v>60</v>
      </c>
      <c r="G87">
        <v>167</v>
      </c>
      <c r="H87">
        <f t="shared" si="7"/>
        <v>21.513858510523864</v>
      </c>
      <c r="I87">
        <v>90</v>
      </c>
      <c r="J87">
        <v>231</v>
      </c>
      <c r="K87">
        <v>7.21</v>
      </c>
      <c r="L87">
        <v>1</v>
      </c>
      <c r="M87">
        <v>1</v>
      </c>
      <c r="N87">
        <v>1</v>
      </c>
      <c r="O87">
        <v>254</v>
      </c>
      <c r="P87">
        <v>0</v>
      </c>
      <c r="Q87">
        <v>42</v>
      </c>
      <c r="R87">
        <v>42</v>
      </c>
      <c r="S87">
        <v>315</v>
      </c>
      <c r="T87">
        <v>5.8</v>
      </c>
      <c r="U87">
        <v>6.6</v>
      </c>
      <c r="V87">
        <v>0</v>
      </c>
      <c r="W87">
        <f t="shared" ref="W87:W99" si="11">LN(O87*J87/2)*I87</f>
        <v>925.7944317282346</v>
      </c>
      <c r="X87">
        <f t="shared" si="10"/>
        <v>49.403845136224597</v>
      </c>
    </row>
    <row r="88" spans="1:24" x14ac:dyDescent="0.2">
      <c r="A88" t="s">
        <v>187</v>
      </c>
      <c r="B88" t="s">
        <v>188</v>
      </c>
      <c r="C88">
        <v>1995</v>
      </c>
      <c r="D88">
        <v>1</v>
      </c>
      <c r="E88">
        <v>1</v>
      </c>
      <c r="F88">
        <v>84</v>
      </c>
      <c r="G88">
        <v>172</v>
      </c>
      <c r="H88">
        <f t="shared" si="7"/>
        <v>28.393726338561386</v>
      </c>
      <c r="I88">
        <v>91</v>
      </c>
      <c r="J88">
        <v>90</v>
      </c>
      <c r="K88">
        <v>5.14</v>
      </c>
      <c r="L88">
        <v>0</v>
      </c>
      <c r="M88">
        <v>0</v>
      </c>
      <c r="N88">
        <v>0</v>
      </c>
      <c r="O88">
        <v>132</v>
      </c>
      <c r="P88">
        <v>0</v>
      </c>
      <c r="Q88">
        <v>58</v>
      </c>
      <c r="R88">
        <v>24</v>
      </c>
      <c r="S88">
        <v>316</v>
      </c>
      <c r="T88">
        <v>11.4</v>
      </c>
      <c r="U88">
        <v>6.6</v>
      </c>
      <c r="V88">
        <v>0</v>
      </c>
      <c r="W88">
        <f t="shared" si="11"/>
        <v>790.74126152445876</v>
      </c>
      <c r="X88">
        <f t="shared" si="10"/>
        <v>48.997155593668971</v>
      </c>
    </row>
    <row r="89" spans="1:24" x14ac:dyDescent="0.2">
      <c r="A89" t="s">
        <v>189</v>
      </c>
      <c r="B89" t="s">
        <v>190</v>
      </c>
      <c r="C89">
        <v>1967</v>
      </c>
      <c r="D89">
        <v>1</v>
      </c>
      <c r="E89">
        <v>1</v>
      </c>
      <c r="F89">
        <v>72</v>
      </c>
      <c r="G89">
        <v>161</v>
      </c>
      <c r="H89">
        <f t="shared" si="7"/>
        <v>27.776706145596233</v>
      </c>
      <c r="I89">
        <v>95</v>
      </c>
      <c r="J89">
        <v>86</v>
      </c>
      <c r="K89">
        <v>6.12</v>
      </c>
      <c r="L89">
        <v>0</v>
      </c>
      <c r="M89">
        <v>0</v>
      </c>
      <c r="N89">
        <v>0</v>
      </c>
      <c r="O89">
        <v>165</v>
      </c>
      <c r="P89">
        <v>0</v>
      </c>
      <c r="Q89">
        <v>42</v>
      </c>
      <c r="R89">
        <v>41</v>
      </c>
      <c r="S89">
        <v>287</v>
      </c>
      <c r="T89">
        <v>4.8</v>
      </c>
      <c r="U89">
        <v>5.7</v>
      </c>
      <c r="V89">
        <v>0</v>
      </c>
      <c r="W89">
        <f t="shared" si="11"/>
        <v>842.37883101144359</v>
      </c>
      <c r="X89">
        <f t="shared" si="10"/>
        <v>66.446879061843049</v>
      </c>
    </row>
    <row r="90" spans="1:24" x14ac:dyDescent="0.2">
      <c r="A90" t="s">
        <v>191</v>
      </c>
      <c r="B90" t="s">
        <v>192</v>
      </c>
      <c r="C90">
        <v>1998</v>
      </c>
      <c r="D90">
        <v>1</v>
      </c>
      <c r="E90">
        <v>1</v>
      </c>
      <c r="F90">
        <v>88</v>
      </c>
      <c r="G90">
        <v>174</v>
      </c>
      <c r="H90">
        <f t="shared" si="7"/>
        <v>29.065926806711587</v>
      </c>
      <c r="I90">
        <v>101</v>
      </c>
      <c r="J90">
        <v>96</v>
      </c>
      <c r="K90">
        <v>5.92</v>
      </c>
      <c r="L90">
        <v>0</v>
      </c>
      <c r="M90">
        <v>0</v>
      </c>
      <c r="N90">
        <v>0</v>
      </c>
      <c r="O90">
        <v>270</v>
      </c>
      <c r="P90">
        <v>0</v>
      </c>
      <c r="Q90">
        <v>63</v>
      </c>
      <c r="R90">
        <v>55</v>
      </c>
      <c r="S90">
        <v>314</v>
      </c>
      <c r="T90">
        <v>9.6</v>
      </c>
      <c r="U90">
        <v>6.5</v>
      </c>
      <c r="V90">
        <v>0</v>
      </c>
      <c r="W90">
        <f t="shared" si="11"/>
        <v>956.4319199605327</v>
      </c>
      <c r="X90">
        <f t="shared" si="10"/>
        <v>86.538145129707004</v>
      </c>
    </row>
    <row r="91" spans="1:24" hidden="1" x14ac:dyDescent="0.2">
      <c r="A91" t="s">
        <v>747</v>
      </c>
      <c r="B91" t="s">
        <v>748</v>
      </c>
      <c r="C91">
        <v>1974</v>
      </c>
      <c r="D91">
        <v>1</v>
      </c>
      <c r="E91">
        <v>1</v>
      </c>
      <c r="F91">
        <v>71</v>
      </c>
      <c r="G91">
        <v>165</v>
      </c>
      <c r="H91">
        <f t="shared" si="7"/>
        <v>26.078971533516992</v>
      </c>
      <c r="I91">
        <v>93</v>
      </c>
      <c r="J91">
        <v>157</v>
      </c>
      <c r="K91">
        <v>7.8</v>
      </c>
      <c r="L91">
        <v>1</v>
      </c>
      <c r="M91">
        <v>0</v>
      </c>
      <c r="N91">
        <v>0</v>
      </c>
      <c r="O91">
        <v>719</v>
      </c>
      <c r="P91">
        <v>1</v>
      </c>
      <c r="Q91">
        <v>37</v>
      </c>
      <c r="R91">
        <v>74</v>
      </c>
      <c r="S91">
        <v>339</v>
      </c>
      <c r="T91">
        <v>5.9</v>
      </c>
      <c r="U91">
        <v>7.6</v>
      </c>
      <c r="V91">
        <v>1</v>
      </c>
      <c r="W91">
        <f t="shared" si="11"/>
        <v>1017.5092783733752</v>
      </c>
      <c r="X91">
        <f t="shared" si="10"/>
        <v>89.733865315020907</v>
      </c>
    </row>
    <row r="92" spans="1:24" x14ac:dyDescent="0.2">
      <c r="A92" t="s">
        <v>193</v>
      </c>
      <c r="B92" t="s">
        <v>194</v>
      </c>
      <c r="C92">
        <v>1972</v>
      </c>
      <c r="D92">
        <v>1</v>
      </c>
      <c r="E92">
        <v>1</v>
      </c>
      <c r="F92">
        <v>64</v>
      </c>
      <c r="G92">
        <v>153</v>
      </c>
      <c r="H92">
        <f t="shared" si="7"/>
        <v>27.339911999658252</v>
      </c>
      <c r="I92">
        <v>91</v>
      </c>
      <c r="J92">
        <v>115</v>
      </c>
      <c r="K92">
        <v>6.83</v>
      </c>
      <c r="L92">
        <v>1</v>
      </c>
      <c r="M92">
        <v>1</v>
      </c>
      <c r="N92">
        <v>1</v>
      </c>
      <c r="O92">
        <v>238</v>
      </c>
      <c r="P92">
        <v>1</v>
      </c>
      <c r="Q92">
        <v>32</v>
      </c>
      <c r="R92">
        <v>73</v>
      </c>
      <c r="S92">
        <v>316</v>
      </c>
      <c r="T92">
        <v>6.9</v>
      </c>
      <c r="U92">
        <v>6.6</v>
      </c>
      <c r="V92">
        <v>0</v>
      </c>
      <c r="W92">
        <f t="shared" si="11"/>
        <v>866.68906155420495</v>
      </c>
      <c r="X92">
        <f t="shared" si="10"/>
        <v>76.384411228501619</v>
      </c>
    </row>
    <row r="93" spans="1:24" x14ac:dyDescent="0.2">
      <c r="A93" t="s">
        <v>195</v>
      </c>
      <c r="B93" t="s">
        <v>196</v>
      </c>
      <c r="C93">
        <v>1988</v>
      </c>
      <c r="D93">
        <v>0</v>
      </c>
      <c r="E93">
        <v>1</v>
      </c>
      <c r="F93">
        <v>61</v>
      </c>
      <c r="G93">
        <v>158</v>
      </c>
      <c r="H93">
        <f t="shared" si="7"/>
        <v>24.435186668803073</v>
      </c>
      <c r="I93">
        <v>86</v>
      </c>
      <c r="J93">
        <v>90</v>
      </c>
      <c r="K93">
        <v>5.42</v>
      </c>
      <c r="L93">
        <v>0</v>
      </c>
      <c r="M93">
        <v>0</v>
      </c>
      <c r="N93">
        <v>0</v>
      </c>
      <c r="O93">
        <v>67</v>
      </c>
      <c r="P93">
        <v>0</v>
      </c>
      <c r="Q93">
        <v>39</v>
      </c>
      <c r="R93">
        <v>48</v>
      </c>
      <c r="S93">
        <v>285</v>
      </c>
      <c r="T93">
        <v>4.7</v>
      </c>
      <c r="U93">
        <v>5.8</v>
      </c>
      <c r="V93">
        <v>0</v>
      </c>
      <c r="W93">
        <f t="shared" si="11"/>
        <v>688.97653938787062</v>
      </c>
      <c r="X93">
        <f t="shared" si="10"/>
        <v>26.81724488475184</v>
      </c>
    </row>
    <row r="94" spans="1:24" x14ac:dyDescent="0.2">
      <c r="A94" t="s">
        <v>197</v>
      </c>
      <c r="B94" t="s">
        <v>198</v>
      </c>
      <c r="C94">
        <v>1962</v>
      </c>
      <c r="D94">
        <v>0</v>
      </c>
      <c r="E94">
        <v>1</v>
      </c>
      <c r="F94">
        <v>60</v>
      </c>
      <c r="G94">
        <v>159</v>
      </c>
      <c r="H94">
        <f t="shared" si="7"/>
        <v>23.733238400379729</v>
      </c>
      <c r="I94">
        <v>86</v>
      </c>
      <c r="J94">
        <v>115</v>
      </c>
      <c r="K94">
        <v>6.02</v>
      </c>
      <c r="L94">
        <v>0</v>
      </c>
      <c r="M94">
        <v>0</v>
      </c>
      <c r="N94">
        <v>0</v>
      </c>
      <c r="O94">
        <v>242</v>
      </c>
      <c r="P94">
        <v>0</v>
      </c>
      <c r="Q94">
        <v>49</v>
      </c>
      <c r="R94">
        <v>80</v>
      </c>
      <c r="S94">
        <v>324</v>
      </c>
      <c r="T94">
        <v>9.4</v>
      </c>
      <c r="U94">
        <v>7</v>
      </c>
      <c r="V94">
        <v>0</v>
      </c>
      <c r="W94">
        <f t="shared" si="11"/>
        <v>820.50214996055922</v>
      </c>
      <c r="X94">
        <f t="shared" si="10"/>
        <v>61.991157276040042</v>
      </c>
    </row>
    <row r="95" spans="1:24" x14ac:dyDescent="0.2">
      <c r="A95" t="s">
        <v>199</v>
      </c>
      <c r="B95" t="s">
        <v>200</v>
      </c>
      <c r="C95">
        <v>1986</v>
      </c>
      <c r="D95">
        <v>0</v>
      </c>
      <c r="E95">
        <v>1</v>
      </c>
      <c r="F95">
        <v>59</v>
      </c>
      <c r="G95">
        <v>158</v>
      </c>
      <c r="H95">
        <f t="shared" si="7"/>
        <v>23.634033007530842</v>
      </c>
      <c r="I95">
        <v>82</v>
      </c>
      <c r="J95">
        <v>105</v>
      </c>
      <c r="K95">
        <v>5.42</v>
      </c>
      <c r="L95">
        <v>0</v>
      </c>
      <c r="M95">
        <v>0</v>
      </c>
      <c r="N95">
        <v>0</v>
      </c>
      <c r="O95">
        <v>162</v>
      </c>
      <c r="P95">
        <v>0</v>
      </c>
      <c r="Q95">
        <v>28</v>
      </c>
      <c r="R95">
        <v>35</v>
      </c>
      <c r="S95">
        <v>348</v>
      </c>
      <c r="T95">
        <v>4.7</v>
      </c>
      <c r="U95">
        <v>7.9</v>
      </c>
      <c r="V95">
        <v>0</v>
      </c>
      <c r="W95">
        <f t="shared" si="11"/>
        <v>741.96957939605693</v>
      </c>
      <c r="X95">
        <f t="shared" si="10"/>
        <v>32.901350835782878</v>
      </c>
    </row>
    <row r="96" spans="1:24" x14ac:dyDescent="0.2">
      <c r="A96" t="s">
        <v>201</v>
      </c>
      <c r="B96" t="s">
        <v>202</v>
      </c>
      <c r="C96">
        <v>1972</v>
      </c>
      <c r="D96">
        <v>0</v>
      </c>
      <c r="E96">
        <v>1</v>
      </c>
      <c r="F96">
        <v>68</v>
      </c>
      <c r="G96">
        <v>153</v>
      </c>
      <c r="H96">
        <f t="shared" si="7"/>
        <v>29.048656499636891</v>
      </c>
      <c r="I96">
        <v>86</v>
      </c>
      <c r="J96">
        <v>97</v>
      </c>
      <c r="K96">
        <v>6.13</v>
      </c>
      <c r="L96">
        <v>0</v>
      </c>
      <c r="M96">
        <v>0</v>
      </c>
      <c r="N96">
        <v>0</v>
      </c>
      <c r="O96">
        <v>372</v>
      </c>
      <c r="P96">
        <v>1</v>
      </c>
      <c r="Q96">
        <v>55</v>
      </c>
      <c r="R96">
        <v>101</v>
      </c>
      <c r="S96">
        <v>325</v>
      </c>
      <c r="T96">
        <v>4.5</v>
      </c>
      <c r="U96">
        <v>7</v>
      </c>
      <c r="V96">
        <v>0</v>
      </c>
      <c r="W96">
        <f t="shared" si="11"/>
        <v>842.83935809062632</v>
      </c>
      <c r="X96">
        <f t="shared" si="10"/>
        <v>85.877172972227285</v>
      </c>
    </row>
    <row r="97" spans="1:24" x14ac:dyDescent="0.2">
      <c r="A97" t="s">
        <v>203</v>
      </c>
      <c r="B97" t="s">
        <v>204</v>
      </c>
      <c r="C97">
        <v>1993</v>
      </c>
      <c r="D97">
        <v>1</v>
      </c>
      <c r="E97">
        <v>1</v>
      </c>
      <c r="F97">
        <v>73</v>
      </c>
      <c r="G97">
        <v>168</v>
      </c>
      <c r="H97">
        <f t="shared" si="7"/>
        <v>25.864512471655331</v>
      </c>
      <c r="I97">
        <v>89</v>
      </c>
      <c r="J97">
        <v>90</v>
      </c>
      <c r="K97">
        <v>5.2</v>
      </c>
      <c r="L97">
        <v>0</v>
      </c>
      <c r="M97">
        <v>0</v>
      </c>
      <c r="N97">
        <v>0</v>
      </c>
      <c r="O97">
        <v>258</v>
      </c>
      <c r="P97">
        <v>0</v>
      </c>
      <c r="Q97">
        <v>46</v>
      </c>
      <c r="R97">
        <v>174</v>
      </c>
      <c r="S97">
        <v>258</v>
      </c>
      <c r="T97">
        <v>5.0999999999999996</v>
      </c>
      <c r="U97">
        <v>5</v>
      </c>
      <c r="V97">
        <v>0</v>
      </c>
      <c r="W97">
        <f t="shared" si="11"/>
        <v>833.00636464758247</v>
      </c>
      <c r="X97">
        <f t="shared" si="10"/>
        <v>82.683201630623969</v>
      </c>
    </row>
    <row r="98" spans="1:24" x14ac:dyDescent="0.2">
      <c r="A98" t="s">
        <v>205</v>
      </c>
      <c r="B98" t="s">
        <v>206</v>
      </c>
      <c r="C98">
        <v>1996</v>
      </c>
      <c r="D98">
        <v>1</v>
      </c>
      <c r="E98">
        <v>1</v>
      </c>
      <c r="F98">
        <v>98</v>
      </c>
      <c r="G98">
        <v>172</v>
      </c>
      <c r="H98">
        <f t="shared" si="7"/>
        <v>33.126014061654949</v>
      </c>
      <c r="I98">
        <v>106</v>
      </c>
      <c r="J98">
        <v>108</v>
      </c>
      <c r="K98">
        <v>6.24</v>
      </c>
      <c r="L98">
        <v>0</v>
      </c>
      <c r="M98">
        <v>0</v>
      </c>
      <c r="N98">
        <v>0</v>
      </c>
      <c r="O98">
        <v>342</v>
      </c>
      <c r="P98">
        <v>0</v>
      </c>
      <c r="Q98">
        <v>46</v>
      </c>
      <c r="R98">
        <v>89</v>
      </c>
      <c r="S98">
        <v>375</v>
      </c>
      <c r="T98">
        <v>11.2</v>
      </c>
      <c r="U98">
        <v>8.9</v>
      </c>
      <c r="V98">
        <v>0</v>
      </c>
      <c r="W98">
        <f t="shared" si="11"/>
        <v>1041.3222470644494</v>
      </c>
      <c r="X98">
        <f t="shared" si="10"/>
        <v>96.30639401359619</v>
      </c>
    </row>
    <row r="99" spans="1:24" x14ac:dyDescent="0.2">
      <c r="A99" t="s">
        <v>207</v>
      </c>
      <c r="B99" t="s">
        <v>208</v>
      </c>
      <c r="C99">
        <v>1996</v>
      </c>
      <c r="D99">
        <v>1</v>
      </c>
      <c r="E99">
        <v>1</v>
      </c>
      <c r="F99">
        <v>88</v>
      </c>
      <c r="G99">
        <v>182</v>
      </c>
      <c r="H99">
        <f t="shared" si="7"/>
        <v>26.566839753652939</v>
      </c>
      <c r="I99">
        <v>93</v>
      </c>
      <c r="J99">
        <v>97</v>
      </c>
      <c r="K99">
        <v>5.42</v>
      </c>
      <c r="L99">
        <v>0</v>
      </c>
      <c r="M99">
        <v>0</v>
      </c>
      <c r="N99">
        <v>0</v>
      </c>
      <c r="O99">
        <v>122</v>
      </c>
      <c r="P99">
        <v>0</v>
      </c>
      <c r="Q99">
        <v>60</v>
      </c>
      <c r="R99">
        <v>35</v>
      </c>
      <c r="S99">
        <v>265</v>
      </c>
      <c r="T99">
        <v>6.7</v>
      </c>
      <c r="U99">
        <v>5.2</v>
      </c>
      <c r="V99">
        <v>0</v>
      </c>
      <c r="W99">
        <f t="shared" si="11"/>
        <v>807.75939036893249</v>
      </c>
      <c r="X99">
        <f t="shared" si="10"/>
        <v>50.194066263924213</v>
      </c>
    </row>
    <row r="100" spans="1:24" x14ac:dyDescent="0.2">
      <c r="A100" t="s">
        <v>209</v>
      </c>
      <c r="B100" t="s">
        <v>210</v>
      </c>
      <c r="C100">
        <v>1995</v>
      </c>
      <c r="D100">
        <v>1</v>
      </c>
      <c r="E100">
        <v>1</v>
      </c>
      <c r="F100">
        <v>65</v>
      </c>
      <c r="G100">
        <v>167</v>
      </c>
      <c r="H100">
        <f t="shared" si="7"/>
        <v>23.306680053067517</v>
      </c>
      <c r="I100">
        <v>88</v>
      </c>
      <c r="J100">
        <v>86</v>
      </c>
      <c r="K100">
        <v>4.92</v>
      </c>
      <c r="L100">
        <v>0</v>
      </c>
      <c r="M100">
        <v>0</v>
      </c>
      <c r="N100">
        <v>0</v>
      </c>
      <c r="O100">
        <v>212</v>
      </c>
      <c r="P100">
        <v>0</v>
      </c>
      <c r="Q100">
        <v>47</v>
      </c>
      <c r="R100">
        <v>43</v>
      </c>
      <c r="S100">
        <v>290</v>
      </c>
      <c r="T100">
        <v>5.3</v>
      </c>
      <c r="U100">
        <v>5.8</v>
      </c>
      <c r="V100">
        <v>0</v>
      </c>
      <c r="W100">
        <f>LN(O100*J100/2)*I100</f>
        <v>802.36520235217063</v>
      </c>
      <c r="X100">
        <f t="shared" si="10"/>
        <v>49.100020467436352</v>
      </c>
    </row>
    <row r="101" spans="1:24" x14ac:dyDescent="0.2">
      <c r="A101" t="s">
        <v>211</v>
      </c>
      <c r="B101" t="s">
        <v>212</v>
      </c>
      <c r="C101">
        <v>1977</v>
      </c>
      <c r="D101">
        <v>1</v>
      </c>
      <c r="E101">
        <v>1</v>
      </c>
      <c r="F101">
        <v>70</v>
      </c>
      <c r="G101">
        <v>164</v>
      </c>
      <c r="H101">
        <f t="shared" si="7"/>
        <v>26.026174895895306</v>
      </c>
      <c r="I101">
        <v>94</v>
      </c>
      <c r="J101">
        <v>96</v>
      </c>
      <c r="K101">
        <v>5.96</v>
      </c>
      <c r="L101">
        <v>0</v>
      </c>
      <c r="M101">
        <v>0</v>
      </c>
      <c r="N101">
        <v>0</v>
      </c>
      <c r="O101">
        <v>98</v>
      </c>
      <c r="P101">
        <v>0</v>
      </c>
      <c r="Q101">
        <v>53</v>
      </c>
      <c r="R101">
        <v>19</v>
      </c>
      <c r="S101">
        <v>231</v>
      </c>
      <c r="T101">
        <v>6.3</v>
      </c>
      <c r="U101">
        <v>4.5</v>
      </c>
      <c r="V101">
        <v>0</v>
      </c>
      <c r="W101">
        <f>LN(O101*J101/2)*I101</f>
        <v>794.87983802037547</v>
      </c>
      <c r="X101">
        <f t="shared" si="10"/>
        <v>34.03397614752582</v>
      </c>
    </row>
    <row r="102" spans="1:24" hidden="1" x14ac:dyDescent="0.2">
      <c r="A102" t="s">
        <v>749</v>
      </c>
      <c r="B102" t="s">
        <v>750</v>
      </c>
      <c r="C102">
        <v>1980</v>
      </c>
      <c r="D102">
        <v>1</v>
      </c>
      <c r="E102">
        <v>1</v>
      </c>
      <c r="F102">
        <v>76</v>
      </c>
      <c r="G102">
        <v>171</v>
      </c>
      <c r="H102">
        <f t="shared" si="7"/>
        <v>25.990903183885642</v>
      </c>
      <c r="I102">
        <v>89</v>
      </c>
      <c r="J102">
        <v>105</v>
      </c>
      <c r="K102">
        <v>5.82</v>
      </c>
      <c r="L102">
        <v>0</v>
      </c>
      <c r="M102">
        <v>1</v>
      </c>
      <c r="N102">
        <v>1</v>
      </c>
      <c r="O102">
        <v>225</v>
      </c>
      <c r="P102">
        <v>0</v>
      </c>
      <c r="Q102">
        <v>51</v>
      </c>
      <c r="R102">
        <v>76</v>
      </c>
      <c r="S102">
        <v>281</v>
      </c>
      <c r="T102">
        <v>5.7</v>
      </c>
      <c r="U102">
        <v>5.7</v>
      </c>
      <c r="V102">
        <v>1</v>
      </c>
      <c r="W102">
        <f t="shared" ref="W102:W107" si="12">LN(O102*J102/2)*I102</f>
        <v>834.54530789037779</v>
      </c>
      <c r="X102">
        <f t="shared" si="10"/>
        <v>70.177105692123675</v>
      </c>
    </row>
    <row r="103" spans="1:24" x14ac:dyDescent="0.2">
      <c r="A103" t="s">
        <v>213</v>
      </c>
      <c r="B103" t="s">
        <v>214</v>
      </c>
      <c r="C103">
        <v>1992</v>
      </c>
      <c r="D103">
        <v>1</v>
      </c>
      <c r="E103">
        <v>1</v>
      </c>
      <c r="F103">
        <v>77</v>
      </c>
      <c r="G103">
        <v>173</v>
      </c>
      <c r="H103">
        <f t="shared" si="7"/>
        <v>25.727555214006482</v>
      </c>
      <c r="I103">
        <v>85</v>
      </c>
      <c r="J103">
        <v>88</v>
      </c>
      <c r="K103">
        <v>5.2</v>
      </c>
      <c r="L103">
        <v>0</v>
      </c>
      <c r="M103">
        <v>0</v>
      </c>
      <c r="N103">
        <v>0</v>
      </c>
      <c r="O103">
        <v>147</v>
      </c>
      <c r="P103">
        <v>1</v>
      </c>
      <c r="Q103">
        <v>46</v>
      </c>
      <c r="R103">
        <v>38</v>
      </c>
      <c r="S103">
        <v>291</v>
      </c>
      <c r="T103">
        <v>6.5</v>
      </c>
      <c r="U103">
        <v>5.9</v>
      </c>
      <c r="V103">
        <v>0</v>
      </c>
      <c r="W103">
        <f t="shared" si="12"/>
        <v>745.84288875924483</v>
      </c>
      <c r="X103">
        <f t="shared" si="10"/>
        <v>42.648651348953898</v>
      </c>
    </row>
    <row r="104" spans="1:24" x14ac:dyDescent="0.2">
      <c r="A104" t="s">
        <v>215</v>
      </c>
      <c r="B104" t="s">
        <v>216</v>
      </c>
      <c r="C104">
        <v>2002</v>
      </c>
      <c r="D104">
        <v>1</v>
      </c>
      <c r="E104">
        <v>1</v>
      </c>
      <c r="F104">
        <v>94</v>
      </c>
      <c r="G104">
        <v>166</v>
      </c>
      <c r="H104">
        <f t="shared" si="7"/>
        <v>34.112353026564087</v>
      </c>
      <c r="I104">
        <v>112</v>
      </c>
      <c r="J104">
        <v>101</v>
      </c>
      <c r="K104">
        <v>5.68</v>
      </c>
      <c r="L104">
        <v>0</v>
      </c>
      <c r="M104">
        <v>0</v>
      </c>
      <c r="N104">
        <v>0</v>
      </c>
      <c r="O104">
        <v>149</v>
      </c>
      <c r="P104">
        <v>0</v>
      </c>
      <c r="Q104">
        <v>54</v>
      </c>
      <c r="R104">
        <v>74</v>
      </c>
      <c r="S104">
        <v>340</v>
      </c>
      <c r="T104">
        <v>10.4</v>
      </c>
      <c r="U104">
        <v>7.6</v>
      </c>
      <c r="V104">
        <v>0</v>
      </c>
      <c r="W104">
        <f t="shared" si="12"/>
        <v>999.70299992939863</v>
      </c>
      <c r="X104">
        <f t="shared" si="10"/>
        <v>94.222547326195937</v>
      </c>
    </row>
    <row r="105" spans="1:24" x14ac:dyDescent="0.2">
      <c r="A105" t="s">
        <v>217</v>
      </c>
      <c r="B105" t="s">
        <v>218</v>
      </c>
      <c r="C105">
        <v>1992</v>
      </c>
      <c r="D105">
        <v>0</v>
      </c>
      <c r="E105">
        <v>1</v>
      </c>
      <c r="F105">
        <v>57</v>
      </c>
      <c r="G105">
        <v>152</v>
      </c>
      <c r="H105">
        <f t="shared" si="7"/>
        <v>24.671052631578949</v>
      </c>
      <c r="I105">
        <v>76</v>
      </c>
      <c r="J105">
        <v>106</v>
      </c>
      <c r="K105">
        <v>5.34</v>
      </c>
      <c r="L105">
        <v>0</v>
      </c>
      <c r="M105">
        <v>0</v>
      </c>
      <c r="N105">
        <v>0</v>
      </c>
      <c r="O105">
        <v>51</v>
      </c>
      <c r="P105">
        <v>0</v>
      </c>
      <c r="Q105">
        <v>65</v>
      </c>
      <c r="R105">
        <v>16</v>
      </c>
      <c r="S105">
        <v>244</v>
      </c>
      <c r="T105">
        <v>3.5</v>
      </c>
      <c r="U105">
        <v>4.8</v>
      </c>
      <c r="V105">
        <v>0</v>
      </c>
      <c r="W105">
        <f t="shared" si="12"/>
        <v>600.56093351700997</v>
      </c>
      <c r="X105">
        <f t="shared" si="10"/>
        <v>7.2428154578738155</v>
      </c>
    </row>
    <row r="106" spans="1:24" x14ac:dyDescent="0.2">
      <c r="A106" t="s">
        <v>219</v>
      </c>
      <c r="B106" t="s">
        <v>220</v>
      </c>
      <c r="C106">
        <v>1975</v>
      </c>
      <c r="D106">
        <v>1</v>
      </c>
      <c r="E106">
        <v>1</v>
      </c>
      <c r="F106">
        <v>70</v>
      </c>
      <c r="G106">
        <v>168</v>
      </c>
      <c r="H106">
        <f t="shared" si="7"/>
        <v>24.801587301587304</v>
      </c>
      <c r="I106">
        <v>95</v>
      </c>
      <c r="J106">
        <v>96</v>
      </c>
      <c r="K106">
        <v>5.62</v>
      </c>
      <c r="L106">
        <v>0</v>
      </c>
      <c r="M106">
        <v>0</v>
      </c>
      <c r="N106">
        <v>1</v>
      </c>
      <c r="O106">
        <v>176</v>
      </c>
      <c r="P106">
        <v>0</v>
      </c>
      <c r="Q106">
        <v>35</v>
      </c>
      <c r="R106">
        <v>32</v>
      </c>
      <c r="S106">
        <v>247</v>
      </c>
      <c r="T106">
        <v>6.7</v>
      </c>
      <c r="U106">
        <v>4.9000000000000004</v>
      </c>
      <c r="V106">
        <v>0</v>
      </c>
      <c r="W106">
        <f t="shared" si="12"/>
        <v>858.96007556487405</v>
      </c>
      <c r="X106">
        <f t="shared" si="10"/>
        <v>53.824769935167716</v>
      </c>
    </row>
    <row r="107" spans="1:24" hidden="1" x14ac:dyDescent="0.2">
      <c r="A107" t="s">
        <v>751</v>
      </c>
      <c r="B107" t="s">
        <v>752</v>
      </c>
      <c r="C107">
        <v>1979</v>
      </c>
      <c r="D107">
        <v>1</v>
      </c>
      <c r="E107">
        <v>1</v>
      </c>
      <c r="F107">
        <v>74</v>
      </c>
      <c r="G107">
        <v>168</v>
      </c>
      <c r="H107">
        <f t="shared" si="7"/>
        <v>26.218820861678008</v>
      </c>
      <c r="I107">
        <v>94</v>
      </c>
      <c r="J107">
        <v>222</v>
      </c>
      <c r="K107">
        <v>7.9</v>
      </c>
      <c r="L107">
        <v>1</v>
      </c>
      <c r="M107">
        <v>1</v>
      </c>
      <c r="N107">
        <v>1</v>
      </c>
      <c r="O107">
        <v>109</v>
      </c>
      <c r="P107">
        <v>0</v>
      </c>
      <c r="Q107">
        <v>41</v>
      </c>
      <c r="R107">
        <v>60</v>
      </c>
      <c r="S107">
        <v>315</v>
      </c>
      <c r="T107">
        <v>6.5</v>
      </c>
      <c r="U107">
        <v>6.4</v>
      </c>
      <c r="V107">
        <v>1</v>
      </c>
      <c r="W107">
        <f t="shared" si="12"/>
        <v>883.68253985289891</v>
      </c>
      <c r="X107">
        <f t="shared" si="10"/>
        <v>57.248814950555371</v>
      </c>
    </row>
    <row r="108" spans="1:24" x14ac:dyDescent="0.2">
      <c r="A108" t="s">
        <v>221</v>
      </c>
      <c r="B108" t="s">
        <v>222</v>
      </c>
      <c r="C108">
        <v>1987</v>
      </c>
      <c r="D108">
        <v>1</v>
      </c>
      <c r="E108">
        <v>1</v>
      </c>
      <c r="F108">
        <v>69</v>
      </c>
      <c r="G108">
        <v>173</v>
      </c>
      <c r="H108">
        <f t="shared" si="7"/>
        <v>23.054562464499313</v>
      </c>
      <c r="I108">
        <v>86</v>
      </c>
      <c r="J108">
        <v>96</v>
      </c>
      <c r="K108">
        <v>5.21</v>
      </c>
      <c r="L108">
        <v>0</v>
      </c>
      <c r="M108">
        <v>0</v>
      </c>
      <c r="N108">
        <v>0</v>
      </c>
      <c r="O108">
        <v>91</v>
      </c>
      <c r="P108">
        <v>0</v>
      </c>
      <c r="Q108">
        <v>52</v>
      </c>
      <c r="R108">
        <v>18</v>
      </c>
      <c r="S108">
        <v>219</v>
      </c>
      <c r="T108">
        <v>5.4</v>
      </c>
      <c r="U108">
        <v>4.5</v>
      </c>
      <c r="V108">
        <v>0</v>
      </c>
      <c r="W108">
        <f>LN(O108*J108/2)*I108</f>
        <v>720.85720449852772</v>
      </c>
      <c r="X108">
        <f t="shared" si="10"/>
        <v>16.682757972341392</v>
      </c>
    </row>
    <row r="109" spans="1:24" x14ac:dyDescent="0.2">
      <c r="A109" t="s">
        <v>223</v>
      </c>
      <c r="B109" t="s">
        <v>224</v>
      </c>
      <c r="C109">
        <v>1979</v>
      </c>
      <c r="D109">
        <v>1</v>
      </c>
      <c r="E109">
        <v>1</v>
      </c>
      <c r="F109">
        <v>72</v>
      </c>
      <c r="G109">
        <v>170</v>
      </c>
      <c r="H109">
        <f t="shared" si="7"/>
        <v>24.913494809688583</v>
      </c>
      <c r="I109">
        <v>97</v>
      </c>
      <c r="J109">
        <v>101</v>
      </c>
      <c r="K109">
        <v>5.7</v>
      </c>
      <c r="L109">
        <v>0</v>
      </c>
      <c r="M109">
        <v>0</v>
      </c>
      <c r="N109">
        <v>0</v>
      </c>
      <c r="O109">
        <v>130</v>
      </c>
      <c r="P109">
        <v>0</v>
      </c>
      <c r="Q109">
        <v>46</v>
      </c>
      <c r="R109">
        <v>43</v>
      </c>
      <c r="S109">
        <v>310</v>
      </c>
      <c r="T109">
        <v>6.4</v>
      </c>
      <c r="U109">
        <v>6.4</v>
      </c>
      <c r="V109">
        <v>0</v>
      </c>
      <c r="W109">
        <f>LN(O109*J109/2)*I109</f>
        <v>852.58225531347898</v>
      </c>
      <c r="X109">
        <f t="shared" si="10"/>
        <v>54.940768603073636</v>
      </c>
    </row>
    <row r="110" spans="1:24" x14ac:dyDescent="0.2">
      <c r="A110" t="s">
        <v>225</v>
      </c>
      <c r="B110" t="s">
        <v>226</v>
      </c>
      <c r="C110">
        <v>1984</v>
      </c>
      <c r="D110">
        <v>1</v>
      </c>
      <c r="E110">
        <v>1</v>
      </c>
      <c r="F110">
        <v>74</v>
      </c>
      <c r="G110">
        <v>164</v>
      </c>
      <c r="H110">
        <f t="shared" si="7"/>
        <v>27.513384889946465</v>
      </c>
      <c r="I110">
        <v>94</v>
      </c>
      <c r="J110">
        <v>88</v>
      </c>
      <c r="K110">
        <v>5.24</v>
      </c>
      <c r="L110">
        <v>0</v>
      </c>
      <c r="M110">
        <v>0</v>
      </c>
      <c r="N110">
        <v>0</v>
      </c>
      <c r="O110">
        <v>188</v>
      </c>
      <c r="P110">
        <v>0</v>
      </c>
      <c r="Q110">
        <v>53</v>
      </c>
      <c r="R110">
        <v>25</v>
      </c>
      <c r="S110">
        <v>266</v>
      </c>
      <c r="T110">
        <v>6.9</v>
      </c>
      <c r="U110">
        <v>5.3</v>
      </c>
      <c r="V110">
        <v>0</v>
      </c>
      <c r="W110">
        <f t="shared" ref="W110:W122" si="13">LN(O110*J110/2)*I110</f>
        <v>847.93937009433171</v>
      </c>
      <c r="X110">
        <f t="shared" si="10"/>
        <v>58.972835645248765</v>
      </c>
    </row>
    <row r="111" spans="1:24" x14ac:dyDescent="0.2">
      <c r="A111" t="s">
        <v>229</v>
      </c>
      <c r="B111" t="s">
        <v>230</v>
      </c>
      <c r="C111">
        <v>1986</v>
      </c>
      <c r="D111">
        <v>1</v>
      </c>
      <c r="E111">
        <v>1</v>
      </c>
      <c r="F111">
        <v>68</v>
      </c>
      <c r="G111">
        <v>170</v>
      </c>
      <c r="H111">
        <f t="shared" si="7"/>
        <v>23.529411764705884</v>
      </c>
      <c r="I111">
        <v>88</v>
      </c>
      <c r="J111">
        <v>88</v>
      </c>
      <c r="K111">
        <v>5.6</v>
      </c>
      <c r="L111">
        <v>0</v>
      </c>
      <c r="M111">
        <v>0</v>
      </c>
      <c r="N111">
        <v>0</v>
      </c>
      <c r="O111">
        <v>227</v>
      </c>
      <c r="P111">
        <v>0</v>
      </c>
      <c r="Q111">
        <v>38</v>
      </c>
      <c r="R111">
        <v>28</v>
      </c>
      <c r="S111">
        <v>217</v>
      </c>
      <c r="T111">
        <v>8.1999999999999993</v>
      </c>
      <c r="U111">
        <v>4.5</v>
      </c>
      <c r="V111">
        <v>0</v>
      </c>
      <c r="W111">
        <f t="shared" si="13"/>
        <v>810.40428932317036</v>
      </c>
      <c r="X111">
        <f t="shared" si="10"/>
        <v>43.833760201225665</v>
      </c>
    </row>
    <row r="112" spans="1:24" x14ac:dyDescent="0.2">
      <c r="A112" t="s">
        <v>227</v>
      </c>
      <c r="B112" t="s">
        <v>228</v>
      </c>
      <c r="C112">
        <v>1969</v>
      </c>
      <c r="D112">
        <v>0</v>
      </c>
      <c r="E112">
        <v>1</v>
      </c>
      <c r="F112">
        <v>49</v>
      </c>
      <c r="G112">
        <v>150</v>
      </c>
      <c r="H112">
        <f t="shared" si="7"/>
        <v>21.777777777777779</v>
      </c>
      <c r="I112">
        <v>75</v>
      </c>
      <c r="J112">
        <v>99</v>
      </c>
      <c r="K112">
        <v>5.63</v>
      </c>
      <c r="L112">
        <v>0</v>
      </c>
      <c r="M112">
        <v>0</v>
      </c>
      <c r="N112">
        <v>0</v>
      </c>
      <c r="O112">
        <v>497</v>
      </c>
      <c r="P112">
        <v>0</v>
      </c>
      <c r="Q112">
        <v>42</v>
      </c>
      <c r="R112">
        <v>26</v>
      </c>
      <c r="S112">
        <v>320</v>
      </c>
      <c r="T112">
        <v>6.9</v>
      </c>
      <c r="U112">
        <v>6.6</v>
      </c>
      <c r="V112">
        <v>0</v>
      </c>
      <c r="W112">
        <f t="shared" si="13"/>
        <v>758.29220217534555</v>
      </c>
      <c r="X112">
        <f t="shared" si="10"/>
        <v>38.065022244215761</v>
      </c>
    </row>
    <row r="113" spans="1:24" x14ac:dyDescent="0.2">
      <c r="A113" t="s">
        <v>231</v>
      </c>
      <c r="B113" t="s">
        <v>232</v>
      </c>
      <c r="C113">
        <v>1990</v>
      </c>
      <c r="D113">
        <v>1</v>
      </c>
      <c r="E113">
        <v>1</v>
      </c>
      <c r="F113">
        <v>64</v>
      </c>
      <c r="G113">
        <v>163</v>
      </c>
      <c r="H113">
        <f t="shared" si="7"/>
        <v>24.088223117166624</v>
      </c>
      <c r="I113">
        <v>88</v>
      </c>
      <c r="J113">
        <v>94</v>
      </c>
      <c r="K113">
        <v>5.53</v>
      </c>
      <c r="L113">
        <v>0</v>
      </c>
      <c r="M113">
        <v>0</v>
      </c>
      <c r="N113">
        <v>0</v>
      </c>
      <c r="O113">
        <v>187</v>
      </c>
      <c r="P113">
        <v>0</v>
      </c>
      <c r="Q113">
        <v>44</v>
      </c>
      <c r="R113">
        <v>75</v>
      </c>
      <c r="S113">
        <v>328</v>
      </c>
      <c r="T113">
        <v>6.5</v>
      </c>
      <c r="U113">
        <v>7.1</v>
      </c>
      <c r="V113">
        <v>0</v>
      </c>
      <c r="W113">
        <f t="shared" si="13"/>
        <v>799.15054723368883</v>
      </c>
      <c r="X113">
        <f t="shared" si="10"/>
        <v>58.721544722385111</v>
      </c>
    </row>
    <row r="114" spans="1:24" x14ac:dyDescent="0.2">
      <c r="A114" t="s">
        <v>233</v>
      </c>
      <c r="B114" t="s">
        <v>234</v>
      </c>
      <c r="C114">
        <v>1990</v>
      </c>
      <c r="D114">
        <v>0</v>
      </c>
      <c r="E114">
        <v>1</v>
      </c>
      <c r="F114">
        <v>68</v>
      </c>
      <c r="G114">
        <v>166</v>
      </c>
      <c r="H114">
        <f t="shared" si="7"/>
        <v>24.677021338365513</v>
      </c>
      <c r="I114">
        <v>79</v>
      </c>
      <c r="J114">
        <v>92</v>
      </c>
      <c r="K114">
        <v>5.86</v>
      </c>
      <c r="L114">
        <v>0</v>
      </c>
      <c r="M114">
        <v>0</v>
      </c>
      <c r="N114">
        <v>0</v>
      </c>
      <c r="O114">
        <v>797</v>
      </c>
      <c r="P114">
        <v>0</v>
      </c>
      <c r="Q114">
        <v>39</v>
      </c>
      <c r="R114">
        <v>46</v>
      </c>
      <c r="S114">
        <v>321</v>
      </c>
      <c r="T114">
        <v>6</v>
      </c>
      <c r="U114">
        <v>6.9</v>
      </c>
      <c r="V114">
        <v>0</v>
      </c>
      <c r="W114">
        <f t="shared" si="13"/>
        <v>830.25018994706556</v>
      </c>
      <c r="X114">
        <f t="shared" si="10"/>
        <v>72.867787575131942</v>
      </c>
    </row>
    <row r="115" spans="1:24" x14ac:dyDescent="0.2">
      <c r="A115" t="s">
        <v>235</v>
      </c>
      <c r="B115" t="s">
        <v>236</v>
      </c>
      <c r="C115">
        <v>1974</v>
      </c>
      <c r="D115">
        <v>1</v>
      </c>
      <c r="E115">
        <v>1</v>
      </c>
      <c r="F115">
        <v>70</v>
      </c>
      <c r="G115">
        <v>170</v>
      </c>
      <c r="H115">
        <f t="shared" si="7"/>
        <v>24.221453287197235</v>
      </c>
      <c r="I115">
        <v>91</v>
      </c>
      <c r="J115">
        <v>83</v>
      </c>
      <c r="K115">
        <v>5.69</v>
      </c>
      <c r="L115">
        <v>0</v>
      </c>
      <c r="M115">
        <v>0</v>
      </c>
      <c r="N115">
        <v>0</v>
      </c>
      <c r="O115">
        <v>225</v>
      </c>
      <c r="P115">
        <v>0</v>
      </c>
      <c r="Q115">
        <v>53</v>
      </c>
      <c r="R115">
        <v>28</v>
      </c>
      <c r="S115">
        <v>272</v>
      </c>
      <c r="T115">
        <v>4.0999999999999996</v>
      </c>
      <c r="U115">
        <v>5.4</v>
      </c>
      <c r="V115">
        <v>0</v>
      </c>
      <c r="W115">
        <f t="shared" si="13"/>
        <v>831.9032384791376</v>
      </c>
      <c r="X115">
        <f t="shared" si="10"/>
        <v>49.971213216356304</v>
      </c>
    </row>
    <row r="116" spans="1:24" x14ac:dyDescent="0.2">
      <c r="A116" t="s">
        <v>237</v>
      </c>
      <c r="B116" t="s">
        <v>238</v>
      </c>
      <c r="C116">
        <v>1997</v>
      </c>
      <c r="D116">
        <v>0</v>
      </c>
      <c r="E116">
        <v>1</v>
      </c>
      <c r="F116">
        <v>68</v>
      </c>
      <c r="G116">
        <v>159</v>
      </c>
      <c r="H116">
        <f t="shared" si="7"/>
        <v>26.897670187097027</v>
      </c>
      <c r="I116">
        <v>87</v>
      </c>
      <c r="J116">
        <v>90</v>
      </c>
      <c r="K116">
        <v>4.92</v>
      </c>
      <c r="L116">
        <v>0</v>
      </c>
      <c r="M116">
        <v>0</v>
      </c>
      <c r="N116">
        <v>0</v>
      </c>
      <c r="O116">
        <v>117</v>
      </c>
      <c r="P116">
        <v>0</v>
      </c>
      <c r="Q116">
        <v>42</v>
      </c>
      <c r="R116">
        <v>32</v>
      </c>
      <c r="S116">
        <v>320</v>
      </c>
      <c r="T116">
        <v>7.4</v>
      </c>
      <c r="U116">
        <v>6.7</v>
      </c>
      <c r="V116">
        <v>0</v>
      </c>
      <c r="W116">
        <f t="shared" si="13"/>
        <v>745.48876893742261</v>
      </c>
      <c r="X116">
        <f t="shared" si="10"/>
        <v>40.890987944507657</v>
      </c>
    </row>
    <row r="117" spans="1:24" x14ac:dyDescent="0.2">
      <c r="A117" t="s">
        <v>239</v>
      </c>
      <c r="B117" t="s">
        <v>240</v>
      </c>
      <c r="C117">
        <v>1982</v>
      </c>
      <c r="D117">
        <v>0</v>
      </c>
      <c r="E117">
        <v>1</v>
      </c>
      <c r="F117">
        <v>67</v>
      </c>
      <c r="G117">
        <v>157</v>
      </c>
      <c r="H117">
        <f t="shared" si="7"/>
        <v>27.181630086413239</v>
      </c>
      <c r="I117">
        <v>78</v>
      </c>
      <c r="J117">
        <v>105</v>
      </c>
      <c r="K117">
        <v>5.6</v>
      </c>
      <c r="L117">
        <v>0</v>
      </c>
      <c r="M117">
        <v>0</v>
      </c>
      <c r="N117">
        <v>0</v>
      </c>
      <c r="O117">
        <v>132</v>
      </c>
      <c r="P117">
        <v>0</v>
      </c>
      <c r="Q117">
        <v>50</v>
      </c>
      <c r="R117">
        <v>34</v>
      </c>
      <c r="S117">
        <v>305</v>
      </c>
      <c r="T117">
        <v>5.3</v>
      </c>
      <c r="U117">
        <v>6</v>
      </c>
      <c r="V117">
        <v>0</v>
      </c>
      <c r="W117">
        <f t="shared" si="13"/>
        <v>689.801977190348</v>
      </c>
      <c r="X117">
        <f t="shared" si="10"/>
        <v>34.354944494511535</v>
      </c>
    </row>
    <row r="118" spans="1:24" x14ac:dyDescent="0.2">
      <c r="A118" t="s">
        <v>241</v>
      </c>
      <c r="B118" t="s">
        <v>242</v>
      </c>
      <c r="C118">
        <v>1983</v>
      </c>
      <c r="D118">
        <v>0</v>
      </c>
      <c r="E118">
        <v>1</v>
      </c>
      <c r="F118">
        <v>62</v>
      </c>
      <c r="G118">
        <v>154</v>
      </c>
      <c r="H118">
        <f t="shared" si="7"/>
        <v>26.14268848035082</v>
      </c>
      <c r="I118">
        <v>84</v>
      </c>
      <c r="J118">
        <v>90</v>
      </c>
      <c r="K118">
        <v>5.42</v>
      </c>
      <c r="L118">
        <v>0</v>
      </c>
      <c r="M118">
        <v>0</v>
      </c>
      <c r="N118">
        <v>0</v>
      </c>
      <c r="O118">
        <v>80</v>
      </c>
      <c r="P118">
        <v>0</v>
      </c>
      <c r="Q118">
        <v>47</v>
      </c>
      <c r="R118">
        <v>17</v>
      </c>
      <c r="S118">
        <v>268</v>
      </c>
      <c r="T118">
        <v>6.7</v>
      </c>
      <c r="U118">
        <v>5.0999999999999996</v>
      </c>
      <c r="V118">
        <v>0</v>
      </c>
      <c r="W118">
        <f t="shared" si="13"/>
        <v>687.84988645331282</v>
      </c>
      <c r="X118">
        <f t="shared" si="10"/>
        <v>19.0178963701951</v>
      </c>
    </row>
    <row r="119" spans="1:24" x14ac:dyDescent="0.2">
      <c r="A119" t="s">
        <v>243</v>
      </c>
      <c r="B119" t="s">
        <v>244</v>
      </c>
      <c r="C119">
        <v>1981</v>
      </c>
      <c r="D119">
        <v>1</v>
      </c>
      <c r="E119">
        <v>1</v>
      </c>
      <c r="F119">
        <v>80</v>
      </c>
      <c r="G119">
        <v>160</v>
      </c>
      <c r="H119">
        <f t="shared" si="7"/>
        <v>31.249999999999993</v>
      </c>
      <c r="I119">
        <v>103</v>
      </c>
      <c r="J119">
        <v>94</v>
      </c>
      <c r="K119">
        <v>5.75</v>
      </c>
      <c r="L119">
        <v>0</v>
      </c>
      <c r="M119">
        <v>0</v>
      </c>
      <c r="N119">
        <v>0</v>
      </c>
      <c r="O119">
        <v>329</v>
      </c>
      <c r="P119">
        <v>0</v>
      </c>
      <c r="Q119">
        <v>40</v>
      </c>
      <c r="R119">
        <v>56</v>
      </c>
      <c r="S119">
        <v>336</v>
      </c>
      <c r="T119">
        <v>9.8000000000000007</v>
      </c>
      <c r="U119">
        <v>7.5</v>
      </c>
      <c r="V119">
        <v>0</v>
      </c>
      <c r="W119">
        <f t="shared" si="13"/>
        <v>993.5591513049693</v>
      </c>
      <c r="X119">
        <f t="shared" si="10"/>
        <v>92.212641740725587</v>
      </c>
    </row>
    <row r="120" spans="1:24" hidden="1" x14ac:dyDescent="0.2">
      <c r="A120" t="s">
        <v>753</v>
      </c>
      <c r="B120" t="s">
        <v>754</v>
      </c>
      <c r="C120">
        <v>1971</v>
      </c>
      <c r="D120">
        <v>1</v>
      </c>
      <c r="E120">
        <v>1</v>
      </c>
      <c r="F120">
        <v>71</v>
      </c>
      <c r="G120">
        <v>168</v>
      </c>
      <c r="H120">
        <f t="shared" si="7"/>
        <v>25.155895691609981</v>
      </c>
      <c r="I120">
        <v>84</v>
      </c>
      <c r="J120">
        <v>90</v>
      </c>
      <c r="K120">
        <v>6.08</v>
      </c>
      <c r="L120">
        <v>0</v>
      </c>
      <c r="M120">
        <v>0</v>
      </c>
      <c r="N120">
        <v>0</v>
      </c>
      <c r="O120">
        <v>277</v>
      </c>
      <c r="P120">
        <v>0</v>
      </c>
      <c r="Q120">
        <v>5</v>
      </c>
      <c r="R120">
        <v>43</v>
      </c>
      <c r="S120">
        <v>288</v>
      </c>
      <c r="T120">
        <v>6.6</v>
      </c>
      <c r="U120">
        <v>5.9</v>
      </c>
      <c r="V120">
        <v>1</v>
      </c>
      <c r="W120">
        <f t="shared" si="13"/>
        <v>792.1771196604434</v>
      </c>
      <c r="X120">
        <f t="shared" si="10"/>
        <v>56.559472283061503</v>
      </c>
    </row>
    <row r="121" spans="1:24" x14ac:dyDescent="0.2">
      <c r="A121" t="s">
        <v>245</v>
      </c>
      <c r="B121" t="s">
        <v>246</v>
      </c>
      <c r="C121">
        <v>1974</v>
      </c>
      <c r="D121">
        <v>0</v>
      </c>
      <c r="E121">
        <v>1</v>
      </c>
      <c r="F121">
        <v>60</v>
      </c>
      <c r="G121">
        <v>151</v>
      </c>
      <c r="H121">
        <f t="shared" si="7"/>
        <v>26.314635323012148</v>
      </c>
      <c r="I121">
        <v>88</v>
      </c>
      <c r="J121">
        <v>92</v>
      </c>
      <c r="K121">
        <v>5.7</v>
      </c>
      <c r="L121">
        <v>0</v>
      </c>
      <c r="M121">
        <v>0</v>
      </c>
      <c r="N121">
        <v>0</v>
      </c>
      <c r="O121">
        <v>74</v>
      </c>
      <c r="P121">
        <v>0</v>
      </c>
      <c r="Q121">
        <v>54</v>
      </c>
      <c r="R121">
        <v>21</v>
      </c>
      <c r="S121">
        <v>216</v>
      </c>
      <c r="T121">
        <v>5.4</v>
      </c>
      <c r="U121">
        <v>4.7</v>
      </c>
      <c r="V121">
        <v>0</v>
      </c>
      <c r="W121">
        <f t="shared" si="13"/>
        <v>715.67817109300722</v>
      </c>
      <c r="X121">
        <f t="shared" si="10"/>
        <v>24.314300706874739</v>
      </c>
    </row>
    <row r="122" spans="1:24" hidden="1" x14ac:dyDescent="0.2">
      <c r="A122" t="s">
        <v>755</v>
      </c>
      <c r="B122" t="s">
        <v>756</v>
      </c>
      <c r="C122">
        <v>1978</v>
      </c>
      <c r="D122">
        <v>1</v>
      </c>
      <c r="E122">
        <v>1</v>
      </c>
      <c r="F122">
        <v>72</v>
      </c>
      <c r="G122">
        <v>164</v>
      </c>
      <c r="H122">
        <f t="shared" si="7"/>
        <v>26.769779892920884</v>
      </c>
      <c r="I122">
        <v>97</v>
      </c>
      <c r="J122">
        <v>112</v>
      </c>
      <c r="K122">
        <v>5.62</v>
      </c>
      <c r="L122">
        <v>1</v>
      </c>
      <c r="M122">
        <v>0</v>
      </c>
      <c r="N122">
        <v>0</v>
      </c>
      <c r="O122">
        <v>186</v>
      </c>
      <c r="P122">
        <v>1</v>
      </c>
      <c r="Q122">
        <v>36</v>
      </c>
      <c r="R122">
        <v>30</v>
      </c>
      <c r="S122">
        <v>308</v>
      </c>
      <c r="T122">
        <v>7.2</v>
      </c>
      <c r="U122">
        <v>6.3</v>
      </c>
      <c r="V122">
        <v>1</v>
      </c>
      <c r="W122">
        <f t="shared" si="13"/>
        <v>897.35654135149002</v>
      </c>
      <c r="X122">
        <f t="shared" si="10"/>
        <v>63.16252984389385</v>
      </c>
    </row>
    <row r="123" spans="1:24" x14ac:dyDescent="0.2">
      <c r="A123" t="s">
        <v>247</v>
      </c>
      <c r="B123" t="s">
        <v>248</v>
      </c>
      <c r="C123">
        <v>1979</v>
      </c>
      <c r="D123">
        <v>1</v>
      </c>
      <c r="E123">
        <v>1</v>
      </c>
      <c r="F123">
        <v>63</v>
      </c>
      <c r="G123">
        <v>164</v>
      </c>
      <c r="H123">
        <f t="shared" si="7"/>
        <v>23.423557406305775</v>
      </c>
      <c r="I123">
        <v>87</v>
      </c>
      <c r="J123">
        <v>96</v>
      </c>
      <c r="K123">
        <v>5.57</v>
      </c>
      <c r="L123">
        <v>0</v>
      </c>
      <c r="M123">
        <v>0</v>
      </c>
      <c r="N123">
        <v>0</v>
      </c>
      <c r="O123">
        <v>94</v>
      </c>
      <c r="P123">
        <v>0</v>
      </c>
      <c r="Q123">
        <v>49</v>
      </c>
      <c r="R123">
        <v>32</v>
      </c>
      <c r="S123">
        <v>241</v>
      </c>
      <c r="T123">
        <v>6.7</v>
      </c>
      <c r="U123">
        <v>4.5999999999999996</v>
      </c>
      <c r="V123">
        <v>0</v>
      </c>
      <c r="W123">
        <f>LN(O123*J123/2)*I123</f>
        <v>732.06113400647689</v>
      </c>
      <c r="X123">
        <f t="shared" si="10"/>
        <v>25.731572003957325</v>
      </c>
    </row>
    <row r="124" spans="1:24" x14ac:dyDescent="0.2">
      <c r="A124" t="s">
        <v>249</v>
      </c>
      <c r="B124" t="s">
        <v>250</v>
      </c>
      <c r="C124">
        <v>1986</v>
      </c>
      <c r="D124">
        <v>0</v>
      </c>
      <c r="E124">
        <v>1</v>
      </c>
      <c r="F124">
        <v>65</v>
      </c>
      <c r="G124">
        <v>156</v>
      </c>
      <c r="H124">
        <f t="shared" si="7"/>
        <v>26.709401709401707</v>
      </c>
      <c r="I124">
        <v>86</v>
      </c>
      <c r="J124">
        <v>86</v>
      </c>
      <c r="K124">
        <v>5.4</v>
      </c>
      <c r="L124">
        <v>0</v>
      </c>
      <c r="M124">
        <v>0</v>
      </c>
      <c r="N124">
        <v>0</v>
      </c>
      <c r="O124">
        <v>67</v>
      </c>
      <c r="P124">
        <v>0</v>
      </c>
      <c r="Q124">
        <v>48</v>
      </c>
      <c r="R124">
        <v>14</v>
      </c>
      <c r="S124">
        <v>287</v>
      </c>
      <c r="T124">
        <v>7.6</v>
      </c>
      <c r="U124">
        <v>5.7</v>
      </c>
      <c r="V124">
        <v>0</v>
      </c>
      <c r="W124">
        <f>LN(O124*J124/2)*I124</f>
        <v>685.06677521726942</v>
      </c>
      <c r="X124">
        <f t="shared" si="10"/>
        <v>17.186342959530577</v>
      </c>
    </row>
    <row r="125" spans="1:24" x14ac:dyDescent="0.2">
      <c r="A125" t="s">
        <v>251</v>
      </c>
      <c r="B125" t="s">
        <v>252</v>
      </c>
      <c r="C125">
        <v>1984</v>
      </c>
      <c r="D125">
        <v>1</v>
      </c>
      <c r="E125">
        <v>1</v>
      </c>
      <c r="F125">
        <v>61</v>
      </c>
      <c r="G125">
        <v>163</v>
      </c>
      <c r="H125">
        <f t="shared" si="7"/>
        <v>22.959087658549439</v>
      </c>
      <c r="I125">
        <v>84</v>
      </c>
      <c r="J125">
        <v>223</v>
      </c>
      <c r="K125">
        <v>9.5399999999999991</v>
      </c>
      <c r="L125">
        <v>1</v>
      </c>
      <c r="M125">
        <v>0</v>
      </c>
      <c r="N125">
        <v>0</v>
      </c>
      <c r="O125">
        <v>223</v>
      </c>
      <c r="P125">
        <v>1</v>
      </c>
      <c r="Q125">
        <v>49</v>
      </c>
      <c r="R125">
        <v>39</v>
      </c>
      <c r="S125">
        <v>279</v>
      </c>
      <c r="T125">
        <v>5.4</v>
      </c>
      <c r="U125">
        <v>5.6</v>
      </c>
      <c r="V125">
        <v>0</v>
      </c>
      <c r="W125">
        <f t="shared" ref="W125:W134" si="14">LN(O125*J125/2)*I125</f>
        <v>850.18049443826453</v>
      </c>
      <c r="X125">
        <f t="shared" si="10"/>
        <v>42.111086278374096</v>
      </c>
    </row>
    <row r="126" spans="1:24" x14ac:dyDescent="0.2">
      <c r="A126" t="s">
        <v>253</v>
      </c>
      <c r="B126" t="s">
        <v>254</v>
      </c>
      <c r="C126">
        <v>1988</v>
      </c>
      <c r="D126">
        <v>0</v>
      </c>
      <c r="E126">
        <v>1</v>
      </c>
      <c r="F126">
        <v>52</v>
      </c>
      <c r="G126">
        <v>158</v>
      </c>
      <c r="H126">
        <f t="shared" si="7"/>
        <v>20.82999519307803</v>
      </c>
      <c r="I126">
        <v>79</v>
      </c>
      <c r="J126">
        <v>88</v>
      </c>
      <c r="K126">
        <v>5.3</v>
      </c>
      <c r="L126">
        <v>0</v>
      </c>
      <c r="M126">
        <v>0</v>
      </c>
      <c r="N126">
        <v>0</v>
      </c>
      <c r="O126">
        <v>100</v>
      </c>
      <c r="P126">
        <v>0</v>
      </c>
      <c r="Q126">
        <v>47</v>
      </c>
      <c r="R126">
        <v>24</v>
      </c>
      <c r="S126">
        <v>269</v>
      </c>
      <c r="T126">
        <v>5.4</v>
      </c>
      <c r="U126">
        <v>5.5</v>
      </c>
      <c r="V126">
        <v>0</v>
      </c>
      <c r="W126">
        <f t="shared" si="14"/>
        <v>662.75942577260196</v>
      </c>
      <c r="X126">
        <f t="shared" si="10"/>
        <v>12.003900714074257</v>
      </c>
    </row>
    <row r="127" spans="1:24" x14ac:dyDescent="0.2">
      <c r="A127" t="s">
        <v>255</v>
      </c>
      <c r="B127" t="s">
        <v>256</v>
      </c>
      <c r="C127">
        <v>1966</v>
      </c>
      <c r="D127">
        <v>1</v>
      </c>
      <c r="E127">
        <v>1</v>
      </c>
      <c r="F127">
        <v>75</v>
      </c>
      <c r="G127">
        <v>164</v>
      </c>
      <c r="H127">
        <f t="shared" si="7"/>
        <v>27.885187388459254</v>
      </c>
      <c r="I127">
        <v>96</v>
      </c>
      <c r="J127">
        <v>186</v>
      </c>
      <c r="K127">
        <v>6.14</v>
      </c>
      <c r="L127">
        <v>0</v>
      </c>
      <c r="M127">
        <v>0</v>
      </c>
      <c r="N127">
        <v>1</v>
      </c>
      <c r="O127">
        <v>171</v>
      </c>
      <c r="P127">
        <v>0</v>
      </c>
      <c r="Q127">
        <v>44</v>
      </c>
      <c r="R127">
        <v>66</v>
      </c>
      <c r="S127">
        <v>296</v>
      </c>
      <c r="T127">
        <v>9.5</v>
      </c>
      <c r="U127">
        <v>5.9</v>
      </c>
      <c r="V127">
        <v>0</v>
      </c>
      <c r="W127">
        <f t="shared" si="14"/>
        <v>928.72925276696799</v>
      </c>
      <c r="X127">
        <f t="shared" si="10"/>
        <v>75.532522181293288</v>
      </c>
    </row>
    <row r="128" spans="1:24" hidden="1" x14ac:dyDescent="0.2">
      <c r="A128" t="s">
        <v>757</v>
      </c>
      <c r="B128" t="s">
        <v>758</v>
      </c>
      <c r="C128">
        <v>1995</v>
      </c>
      <c r="D128">
        <v>1</v>
      </c>
      <c r="E128">
        <v>1</v>
      </c>
      <c r="F128">
        <v>106</v>
      </c>
      <c r="G128">
        <v>173</v>
      </c>
      <c r="H128">
        <f t="shared" si="7"/>
        <v>35.41715393096996</v>
      </c>
      <c r="I128">
        <v>109</v>
      </c>
      <c r="J128">
        <v>99</v>
      </c>
      <c r="K128">
        <v>5.12</v>
      </c>
      <c r="L128">
        <v>0</v>
      </c>
      <c r="M128">
        <v>0</v>
      </c>
      <c r="N128">
        <v>0</v>
      </c>
      <c r="O128">
        <v>379</v>
      </c>
      <c r="P128">
        <v>0</v>
      </c>
      <c r="Q128">
        <v>52</v>
      </c>
      <c r="R128">
        <v>232</v>
      </c>
      <c r="S128">
        <v>320</v>
      </c>
      <c r="T128">
        <v>17.600000000000001</v>
      </c>
      <c r="U128">
        <v>6.5</v>
      </c>
      <c r="V128">
        <v>1</v>
      </c>
      <c r="W128">
        <f t="shared" si="14"/>
        <v>1072.5064673376207</v>
      </c>
      <c r="X128">
        <f t="shared" si="10"/>
        <v>98.927307885048165</v>
      </c>
    </row>
    <row r="129" spans="1:24" x14ac:dyDescent="0.2">
      <c r="A129" t="s">
        <v>257</v>
      </c>
      <c r="B129" t="s">
        <v>258</v>
      </c>
      <c r="C129">
        <v>1998</v>
      </c>
      <c r="D129">
        <v>1</v>
      </c>
      <c r="E129">
        <v>1</v>
      </c>
      <c r="F129">
        <v>96</v>
      </c>
      <c r="G129">
        <v>181</v>
      </c>
      <c r="H129">
        <f t="shared" si="7"/>
        <v>29.303134824944294</v>
      </c>
      <c r="I129">
        <v>102</v>
      </c>
      <c r="J129">
        <v>106</v>
      </c>
      <c r="K129">
        <v>5.55</v>
      </c>
      <c r="L129">
        <v>0</v>
      </c>
      <c r="M129">
        <v>0</v>
      </c>
      <c r="N129">
        <v>0</v>
      </c>
      <c r="O129">
        <v>203</v>
      </c>
      <c r="P129">
        <v>0</v>
      </c>
      <c r="Q129">
        <v>38</v>
      </c>
      <c r="R129">
        <v>28</v>
      </c>
      <c r="S129">
        <v>232</v>
      </c>
      <c r="T129">
        <v>6.6</v>
      </c>
      <c r="U129">
        <v>4.7</v>
      </c>
      <c r="V129">
        <v>0</v>
      </c>
      <c r="W129">
        <f t="shared" si="14"/>
        <v>946.91678504457866</v>
      </c>
      <c r="X129">
        <f t="shared" si="10"/>
        <v>76.67667955279812</v>
      </c>
    </row>
    <row r="130" spans="1:24" hidden="1" x14ac:dyDescent="0.2">
      <c r="A130" t="s">
        <v>759</v>
      </c>
      <c r="B130" t="s">
        <v>760</v>
      </c>
      <c r="C130">
        <v>1988</v>
      </c>
      <c r="D130">
        <v>1</v>
      </c>
      <c r="E130">
        <v>1</v>
      </c>
      <c r="F130">
        <v>70</v>
      </c>
      <c r="G130">
        <v>164</v>
      </c>
      <c r="H130">
        <f t="shared" si="7"/>
        <v>26.026174895895306</v>
      </c>
      <c r="I130">
        <v>94</v>
      </c>
      <c r="J130">
        <v>101</v>
      </c>
      <c r="K130">
        <v>5.66</v>
      </c>
      <c r="L130">
        <v>0</v>
      </c>
      <c r="M130">
        <v>0</v>
      </c>
      <c r="N130">
        <v>0</v>
      </c>
      <c r="O130">
        <v>583</v>
      </c>
      <c r="P130">
        <v>0</v>
      </c>
      <c r="Q130">
        <v>45</v>
      </c>
      <c r="R130">
        <v>86</v>
      </c>
      <c r="S130">
        <v>285</v>
      </c>
      <c r="T130">
        <v>6.4</v>
      </c>
      <c r="U130">
        <v>5.7</v>
      </c>
      <c r="V130">
        <v>1</v>
      </c>
      <c r="W130">
        <f t="shared" si="14"/>
        <v>967.27508912738983</v>
      </c>
      <c r="X130">
        <f t="shared" si="10"/>
        <v>89.299850093095273</v>
      </c>
    </row>
    <row r="131" spans="1:24" x14ac:dyDescent="0.2">
      <c r="A131" t="s">
        <v>261</v>
      </c>
      <c r="B131" t="s">
        <v>262</v>
      </c>
      <c r="C131">
        <v>1995</v>
      </c>
      <c r="D131">
        <v>1</v>
      </c>
      <c r="E131">
        <v>1</v>
      </c>
      <c r="F131">
        <v>85</v>
      </c>
      <c r="G131">
        <v>172</v>
      </c>
      <c r="H131">
        <f t="shared" si="7"/>
        <v>28.731746890210928</v>
      </c>
      <c r="I131">
        <v>100</v>
      </c>
      <c r="J131">
        <v>94</v>
      </c>
      <c r="K131">
        <v>5.65</v>
      </c>
      <c r="L131">
        <v>0</v>
      </c>
      <c r="M131">
        <v>0</v>
      </c>
      <c r="N131">
        <v>0</v>
      </c>
      <c r="O131">
        <v>159</v>
      </c>
      <c r="P131">
        <v>0</v>
      </c>
      <c r="Q131">
        <v>44</v>
      </c>
      <c r="R131">
        <v>39</v>
      </c>
      <c r="S131">
        <v>334</v>
      </c>
      <c r="T131">
        <v>6.4</v>
      </c>
      <c r="U131">
        <v>7.2</v>
      </c>
      <c r="V131">
        <v>0</v>
      </c>
      <c r="W131">
        <f t="shared" si="14"/>
        <v>891.90518039302913</v>
      </c>
      <c r="X131">
        <f t="shared" si="10"/>
        <v>73.298409639719978</v>
      </c>
    </row>
    <row r="132" spans="1:24" hidden="1" x14ac:dyDescent="0.2">
      <c r="A132" t="s">
        <v>761</v>
      </c>
      <c r="B132" t="s">
        <v>762</v>
      </c>
      <c r="C132">
        <v>1980</v>
      </c>
      <c r="D132">
        <v>1</v>
      </c>
      <c r="E132">
        <v>1</v>
      </c>
      <c r="F132">
        <v>89</v>
      </c>
      <c r="G132">
        <v>169</v>
      </c>
      <c r="H132">
        <f t="shared" si="7"/>
        <v>31.161373901474043</v>
      </c>
      <c r="I132">
        <v>107</v>
      </c>
      <c r="J132">
        <v>96</v>
      </c>
      <c r="K132">
        <v>6.04</v>
      </c>
      <c r="L132">
        <v>0</v>
      </c>
      <c r="M132">
        <v>0</v>
      </c>
      <c r="N132">
        <v>0</v>
      </c>
      <c r="O132">
        <v>146</v>
      </c>
      <c r="P132">
        <v>0</v>
      </c>
      <c r="Q132">
        <v>52</v>
      </c>
      <c r="R132">
        <v>106</v>
      </c>
      <c r="S132">
        <v>304</v>
      </c>
      <c r="T132">
        <v>12.2</v>
      </c>
      <c r="U132">
        <v>6.1</v>
      </c>
      <c r="V132">
        <v>1</v>
      </c>
      <c r="W132">
        <f t="shared" si="14"/>
        <v>947.46441668993634</v>
      </c>
      <c r="X132">
        <f t="shared" si="10"/>
        <v>91.334328931800741</v>
      </c>
    </row>
    <row r="133" spans="1:24" x14ac:dyDescent="0.2">
      <c r="A133" t="s">
        <v>263</v>
      </c>
      <c r="B133" t="s">
        <v>264</v>
      </c>
      <c r="C133">
        <v>1984</v>
      </c>
      <c r="D133">
        <v>1</v>
      </c>
      <c r="E133">
        <v>1</v>
      </c>
      <c r="F133">
        <v>83</v>
      </c>
      <c r="G133">
        <v>172</v>
      </c>
      <c r="H133">
        <f t="shared" si="7"/>
        <v>28.055705786911847</v>
      </c>
      <c r="I133">
        <v>102</v>
      </c>
      <c r="J133">
        <v>85</v>
      </c>
      <c r="K133">
        <v>5.8</v>
      </c>
      <c r="L133">
        <v>0</v>
      </c>
      <c r="M133">
        <v>0</v>
      </c>
      <c r="N133">
        <v>0</v>
      </c>
      <c r="O133">
        <v>250</v>
      </c>
      <c r="P133">
        <v>0</v>
      </c>
      <c r="Q133">
        <v>54</v>
      </c>
      <c r="R133">
        <v>47</v>
      </c>
      <c r="S133">
        <v>324</v>
      </c>
      <c r="T133">
        <v>7.2</v>
      </c>
      <c r="U133">
        <v>6.8</v>
      </c>
      <c r="V133">
        <v>0</v>
      </c>
      <c r="W133">
        <f t="shared" si="14"/>
        <v>945.63842936684694</v>
      </c>
      <c r="X133">
        <f t="shared" si="10"/>
        <v>83.020789059063731</v>
      </c>
    </row>
    <row r="134" spans="1:24" x14ac:dyDescent="0.2">
      <c r="A134" t="s">
        <v>265</v>
      </c>
      <c r="B134" t="s">
        <v>266</v>
      </c>
      <c r="C134">
        <v>1980</v>
      </c>
      <c r="D134">
        <v>1</v>
      </c>
      <c r="E134">
        <v>1</v>
      </c>
      <c r="F134">
        <v>75</v>
      </c>
      <c r="G134">
        <v>172</v>
      </c>
      <c r="H134">
        <f t="shared" si="7"/>
        <v>25.351541373715524</v>
      </c>
      <c r="I134">
        <v>96</v>
      </c>
      <c r="J134">
        <v>92</v>
      </c>
      <c r="K134">
        <v>5.6</v>
      </c>
      <c r="L134">
        <v>0</v>
      </c>
      <c r="M134">
        <v>0</v>
      </c>
      <c r="N134">
        <v>0</v>
      </c>
      <c r="O134">
        <v>126</v>
      </c>
      <c r="P134">
        <v>0</v>
      </c>
      <c r="Q134">
        <v>46</v>
      </c>
      <c r="R134">
        <v>72</v>
      </c>
      <c r="S134">
        <v>244</v>
      </c>
      <c r="T134">
        <v>5.5</v>
      </c>
      <c r="U134">
        <v>4.9000000000000004</v>
      </c>
      <c r="V134">
        <v>0</v>
      </c>
      <c r="W134">
        <f t="shared" si="14"/>
        <v>831.83263713029487</v>
      </c>
      <c r="X134">
        <f t="shared" si="10"/>
        <v>63.332020695612492</v>
      </c>
    </row>
    <row r="135" spans="1:24" x14ac:dyDescent="0.2">
      <c r="A135" t="s">
        <v>267</v>
      </c>
      <c r="B135" t="s">
        <v>268</v>
      </c>
      <c r="C135">
        <v>2000</v>
      </c>
      <c r="D135">
        <v>1</v>
      </c>
      <c r="E135">
        <v>1</v>
      </c>
      <c r="F135">
        <v>94</v>
      </c>
      <c r="G135">
        <v>177</v>
      </c>
      <c r="H135">
        <f t="shared" si="7"/>
        <v>30.004149510038619</v>
      </c>
      <c r="I135">
        <v>111</v>
      </c>
      <c r="J135">
        <v>103</v>
      </c>
      <c r="K135">
        <v>5.7</v>
      </c>
      <c r="L135">
        <v>0</v>
      </c>
      <c r="M135">
        <v>0</v>
      </c>
      <c r="N135">
        <v>0</v>
      </c>
      <c r="O135">
        <v>119</v>
      </c>
      <c r="P135">
        <v>0</v>
      </c>
      <c r="Q135">
        <v>60</v>
      </c>
      <c r="R135">
        <v>61</v>
      </c>
      <c r="S135">
        <v>277</v>
      </c>
      <c r="T135">
        <v>8.8000000000000007</v>
      </c>
      <c r="U135">
        <v>5.5</v>
      </c>
      <c r="V135">
        <v>0</v>
      </c>
      <c r="W135">
        <f>LN(O135*J135/2)*I135</f>
        <v>967.99828838671533</v>
      </c>
      <c r="X135">
        <f t="shared" si="10"/>
        <v>85.992761655542807</v>
      </c>
    </row>
    <row r="136" spans="1:24" x14ac:dyDescent="0.2">
      <c r="A136" t="s">
        <v>269</v>
      </c>
      <c r="B136" t="s">
        <v>270</v>
      </c>
      <c r="C136">
        <v>1984</v>
      </c>
      <c r="D136">
        <v>1</v>
      </c>
      <c r="E136">
        <v>1</v>
      </c>
      <c r="F136">
        <v>74</v>
      </c>
      <c r="G136">
        <v>168</v>
      </c>
      <c r="H136">
        <f t="shared" si="7"/>
        <v>26.218820861678008</v>
      </c>
      <c r="I136">
        <v>91</v>
      </c>
      <c r="J136">
        <v>97</v>
      </c>
      <c r="K136">
        <v>5.6</v>
      </c>
      <c r="L136">
        <v>0</v>
      </c>
      <c r="M136">
        <v>0</v>
      </c>
      <c r="N136">
        <v>0</v>
      </c>
      <c r="O136">
        <v>156</v>
      </c>
      <c r="P136">
        <v>0</v>
      </c>
      <c r="Q136">
        <v>56</v>
      </c>
      <c r="R136">
        <v>49</v>
      </c>
      <c r="S136">
        <v>256</v>
      </c>
      <c r="T136">
        <v>6.7</v>
      </c>
      <c r="U136">
        <v>5.2</v>
      </c>
      <c r="V136">
        <v>0</v>
      </c>
      <c r="W136">
        <f>LN(O136*J136/2)*I136</f>
        <v>812.75920227256074</v>
      </c>
      <c r="X136">
        <f t="shared" si="10"/>
        <v>58.15783023651592</v>
      </c>
    </row>
    <row r="137" spans="1:24" x14ac:dyDescent="0.2">
      <c r="A137" t="s">
        <v>271</v>
      </c>
      <c r="B137" t="s">
        <v>272</v>
      </c>
      <c r="C137">
        <v>1981</v>
      </c>
      <c r="D137">
        <v>0</v>
      </c>
      <c r="E137">
        <v>1</v>
      </c>
      <c r="F137">
        <v>61</v>
      </c>
      <c r="G137">
        <v>150</v>
      </c>
      <c r="H137">
        <f t="shared" si="7"/>
        <v>27.111111111111111</v>
      </c>
      <c r="I137">
        <v>90</v>
      </c>
      <c r="J137">
        <v>88</v>
      </c>
      <c r="K137">
        <v>5.6</v>
      </c>
      <c r="L137">
        <v>0</v>
      </c>
      <c r="M137">
        <v>0</v>
      </c>
      <c r="N137">
        <v>0</v>
      </c>
      <c r="O137">
        <v>201</v>
      </c>
      <c r="P137">
        <v>0</v>
      </c>
      <c r="Q137">
        <v>49</v>
      </c>
      <c r="R137">
        <v>31</v>
      </c>
      <c r="S137">
        <v>238</v>
      </c>
      <c r="T137">
        <v>7.2</v>
      </c>
      <c r="U137">
        <v>4.5999999999999996</v>
      </c>
      <c r="V137">
        <v>0</v>
      </c>
      <c r="W137">
        <f t="shared" ref="W137" si="15">LN(O137*J137/2)*I137</f>
        <v>817.87450877796039</v>
      </c>
      <c r="X137">
        <f t="shared" si="10"/>
        <v>57.764098279832865</v>
      </c>
    </row>
    <row r="138" spans="1:24" x14ac:dyDescent="0.2">
      <c r="A138" t="s">
        <v>273</v>
      </c>
      <c r="B138" t="s">
        <v>274</v>
      </c>
      <c r="C138">
        <v>1971</v>
      </c>
      <c r="D138">
        <v>0</v>
      </c>
      <c r="E138">
        <v>1</v>
      </c>
      <c r="F138">
        <v>63</v>
      </c>
      <c r="G138">
        <v>158</v>
      </c>
      <c r="H138">
        <f t="shared" si="7"/>
        <v>25.236340330075304</v>
      </c>
      <c r="I138">
        <v>90</v>
      </c>
      <c r="J138">
        <v>101</v>
      </c>
      <c r="K138">
        <v>6.2</v>
      </c>
      <c r="L138">
        <v>1</v>
      </c>
      <c r="M138">
        <v>0</v>
      </c>
      <c r="N138">
        <v>1</v>
      </c>
      <c r="O138">
        <v>97</v>
      </c>
      <c r="P138">
        <v>1</v>
      </c>
      <c r="Q138">
        <v>69</v>
      </c>
      <c r="R138">
        <v>26</v>
      </c>
      <c r="S138">
        <v>317</v>
      </c>
      <c r="T138">
        <v>5</v>
      </c>
      <c r="U138">
        <v>6.5</v>
      </c>
      <c r="V138">
        <v>0</v>
      </c>
      <c r="W138">
        <f>LN(O138*J138/2)*I138</f>
        <v>764.70158833062271</v>
      </c>
      <c r="X138">
        <f t="shared" si="10"/>
        <v>31.68825043083077</v>
      </c>
    </row>
    <row r="139" spans="1:24" x14ac:dyDescent="0.2">
      <c r="A139" t="s">
        <v>275</v>
      </c>
      <c r="B139" t="s">
        <v>276</v>
      </c>
      <c r="C139">
        <v>1981</v>
      </c>
      <c r="D139">
        <v>1</v>
      </c>
      <c r="E139">
        <v>1</v>
      </c>
      <c r="F139">
        <v>57</v>
      </c>
      <c r="G139">
        <v>165</v>
      </c>
      <c r="H139">
        <f t="shared" si="7"/>
        <v>20.936639118457304</v>
      </c>
      <c r="I139">
        <v>74</v>
      </c>
      <c r="J139">
        <v>83</v>
      </c>
      <c r="K139">
        <v>5.3</v>
      </c>
      <c r="L139">
        <v>0</v>
      </c>
      <c r="M139">
        <v>0</v>
      </c>
      <c r="N139">
        <v>1</v>
      </c>
      <c r="O139">
        <v>82</v>
      </c>
      <c r="P139">
        <v>0</v>
      </c>
      <c r="Q139">
        <v>49</v>
      </c>
      <c r="R139">
        <v>19</v>
      </c>
      <c r="S139">
        <v>245</v>
      </c>
      <c r="T139">
        <v>4.4000000000000004</v>
      </c>
      <c r="U139">
        <v>4.7</v>
      </c>
      <c r="V139">
        <v>0</v>
      </c>
      <c r="W139">
        <f>LN(O139*J139/2)*I139</f>
        <v>601.79853791306698</v>
      </c>
      <c r="X139">
        <f t="shared" si="10"/>
        <v>6.9196588591631487</v>
      </c>
    </row>
    <row r="140" spans="1:24" x14ac:dyDescent="0.2">
      <c r="A140" t="s">
        <v>277</v>
      </c>
      <c r="B140" t="s">
        <v>278</v>
      </c>
      <c r="C140">
        <v>1972</v>
      </c>
      <c r="D140">
        <v>0</v>
      </c>
      <c r="E140">
        <v>1</v>
      </c>
      <c r="F140">
        <v>73</v>
      </c>
      <c r="G140">
        <v>150</v>
      </c>
      <c r="H140">
        <f t="shared" si="7"/>
        <v>32.444444444444443</v>
      </c>
      <c r="I140">
        <v>100</v>
      </c>
      <c r="J140">
        <v>132</v>
      </c>
      <c r="K140">
        <v>6.2</v>
      </c>
      <c r="L140">
        <v>1</v>
      </c>
      <c r="M140">
        <v>0</v>
      </c>
      <c r="N140">
        <v>0</v>
      </c>
      <c r="O140">
        <v>166</v>
      </c>
      <c r="P140">
        <v>1</v>
      </c>
      <c r="Q140">
        <v>69</v>
      </c>
      <c r="R140">
        <v>63</v>
      </c>
      <c r="S140">
        <v>294</v>
      </c>
      <c r="T140">
        <v>4.4000000000000004</v>
      </c>
      <c r="U140">
        <v>5.9</v>
      </c>
      <c r="V140">
        <v>0</v>
      </c>
      <c r="W140">
        <f t="shared" ref="W140:W148" si="16">LN(O140*J140/2)*I140</f>
        <v>930.16425303829692</v>
      </c>
      <c r="X140">
        <f t="shared" si="10"/>
        <v>87.116208105594893</v>
      </c>
    </row>
    <row r="141" spans="1:24" x14ac:dyDescent="0.2">
      <c r="A141" t="s">
        <v>279</v>
      </c>
      <c r="B141" t="s">
        <v>280</v>
      </c>
      <c r="C141">
        <v>1986</v>
      </c>
      <c r="D141">
        <v>0</v>
      </c>
      <c r="E141">
        <v>1</v>
      </c>
      <c r="F141">
        <v>70</v>
      </c>
      <c r="G141">
        <v>159</v>
      </c>
      <c r="H141">
        <f t="shared" si="7"/>
        <v>27.688778133776353</v>
      </c>
      <c r="I141">
        <v>87</v>
      </c>
      <c r="J141">
        <v>114</v>
      </c>
      <c r="K141">
        <v>6.4</v>
      </c>
      <c r="L141">
        <v>0</v>
      </c>
      <c r="M141">
        <v>0</v>
      </c>
      <c r="N141">
        <v>0</v>
      </c>
      <c r="O141">
        <v>327</v>
      </c>
      <c r="P141">
        <v>0</v>
      </c>
      <c r="Q141">
        <v>40</v>
      </c>
      <c r="R141">
        <v>17</v>
      </c>
      <c r="S141">
        <v>263</v>
      </c>
      <c r="T141">
        <v>6.8</v>
      </c>
      <c r="U141">
        <v>5.3</v>
      </c>
      <c r="V141">
        <v>0</v>
      </c>
      <c r="W141">
        <f t="shared" si="16"/>
        <v>855.47199516966691</v>
      </c>
      <c r="X141">
        <f t="shared" si="10"/>
        <v>56.631190249036564</v>
      </c>
    </row>
    <row r="142" spans="1:24" hidden="1" x14ac:dyDescent="0.2">
      <c r="A142" t="s">
        <v>763</v>
      </c>
      <c r="B142" t="s">
        <v>764</v>
      </c>
      <c r="C142">
        <v>1986</v>
      </c>
      <c r="D142">
        <v>1</v>
      </c>
      <c r="E142">
        <v>1</v>
      </c>
      <c r="F142">
        <v>72</v>
      </c>
      <c r="G142">
        <v>168</v>
      </c>
      <c r="H142">
        <f t="shared" si="7"/>
        <v>25.510204081632658</v>
      </c>
      <c r="I142">
        <v>90</v>
      </c>
      <c r="J142">
        <v>86</v>
      </c>
      <c r="K142">
        <v>5.0999999999999996</v>
      </c>
      <c r="L142">
        <v>0</v>
      </c>
      <c r="M142">
        <v>0</v>
      </c>
      <c r="N142">
        <v>0</v>
      </c>
      <c r="O142">
        <v>146</v>
      </c>
      <c r="P142">
        <v>0</v>
      </c>
      <c r="Q142">
        <v>47</v>
      </c>
      <c r="R142">
        <v>146</v>
      </c>
      <c r="S142">
        <v>249</v>
      </c>
      <c r="T142">
        <v>7</v>
      </c>
      <c r="U142">
        <v>5</v>
      </c>
      <c r="V142">
        <v>1</v>
      </c>
      <c r="W142">
        <f t="shared" si="16"/>
        <v>787.03260636617085</v>
      </c>
      <c r="X142">
        <f t="shared" si="10"/>
        <v>71.064630200921769</v>
      </c>
    </row>
    <row r="143" spans="1:24" x14ac:dyDescent="0.2">
      <c r="A143" t="s">
        <v>281</v>
      </c>
      <c r="B143" t="s">
        <v>282</v>
      </c>
      <c r="C143">
        <v>1969</v>
      </c>
      <c r="D143">
        <v>0</v>
      </c>
      <c r="E143">
        <v>1</v>
      </c>
      <c r="F143">
        <v>67</v>
      </c>
      <c r="G143">
        <v>155</v>
      </c>
      <c r="H143">
        <f t="shared" si="7"/>
        <v>27.887617065556707</v>
      </c>
      <c r="I143">
        <v>87</v>
      </c>
      <c r="J143">
        <v>96</v>
      </c>
      <c r="K143">
        <v>5.9</v>
      </c>
      <c r="L143">
        <v>0</v>
      </c>
      <c r="M143">
        <v>0</v>
      </c>
      <c r="N143">
        <v>0</v>
      </c>
      <c r="O143">
        <v>121</v>
      </c>
      <c r="P143">
        <v>0</v>
      </c>
      <c r="Q143">
        <v>62</v>
      </c>
      <c r="R143">
        <v>45</v>
      </c>
      <c r="S143">
        <v>275</v>
      </c>
      <c r="T143">
        <v>6.5</v>
      </c>
      <c r="U143">
        <v>5.6</v>
      </c>
      <c r="V143">
        <v>0</v>
      </c>
      <c r="W143">
        <f t="shared" si="16"/>
        <v>754.02826541590298</v>
      </c>
      <c r="X143">
        <f t="shared" si="10"/>
        <v>51.148568651948899</v>
      </c>
    </row>
    <row r="144" spans="1:24" hidden="1" x14ac:dyDescent="0.2">
      <c r="A144" t="s">
        <v>765</v>
      </c>
      <c r="B144" t="s">
        <v>766</v>
      </c>
      <c r="C144">
        <v>1990</v>
      </c>
      <c r="D144">
        <v>1</v>
      </c>
      <c r="E144">
        <v>1</v>
      </c>
      <c r="F144">
        <v>78</v>
      </c>
      <c r="G144">
        <v>174</v>
      </c>
      <c r="H144">
        <f t="shared" si="7"/>
        <v>25.762980578676178</v>
      </c>
      <c r="I144">
        <v>95</v>
      </c>
      <c r="J144">
        <v>121</v>
      </c>
      <c r="K144">
        <v>6.2</v>
      </c>
      <c r="L144">
        <v>0</v>
      </c>
      <c r="M144">
        <v>0</v>
      </c>
      <c r="N144">
        <v>0</v>
      </c>
      <c r="O144">
        <v>617</v>
      </c>
      <c r="P144">
        <v>0</v>
      </c>
      <c r="Q144">
        <v>47</v>
      </c>
      <c r="R144">
        <v>125</v>
      </c>
      <c r="S144">
        <v>240</v>
      </c>
      <c r="T144">
        <v>6.6</v>
      </c>
      <c r="U144">
        <v>4.7</v>
      </c>
      <c r="V144">
        <v>1</v>
      </c>
      <c r="W144">
        <f t="shared" si="16"/>
        <v>1000.1136769495074</v>
      </c>
      <c r="X144">
        <f t="shared" si="10"/>
        <v>92.133923023032779</v>
      </c>
    </row>
    <row r="145" spans="1:24" x14ac:dyDescent="0.2">
      <c r="A145" t="s">
        <v>283</v>
      </c>
      <c r="B145" t="s">
        <v>284</v>
      </c>
      <c r="C145">
        <v>1984</v>
      </c>
      <c r="D145">
        <v>0</v>
      </c>
      <c r="E145">
        <v>1</v>
      </c>
      <c r="F145">
        <v>66</v>
      </c>
      <c r="G145">
        <v>164</v>
      </c>
      <c r="H145">
        <f t="shared" si="7"/>
        <v>24.538964901844146</v>
      </c>
      <c r="I145">
        <v>90</v>
      </c>
      <c r="J145">
        <v>83</v>
      </c>
      <c r="K145">
        <v>5.4</v>
      </c>
      <c r="L145">
        <v>0</v>
      </c>
      <c r="M145">
        <v>0</v>
      </c>
      <c r="N145">
        <v>0</v>
      </c>
      <c r="O145">
        <v>104</v>
      </c>
      <c r="P145">
        <v>0</v>
      </c>
      <c r="Q145">
        <v>60</v>
      </c>
      <c r="R145">
        <v>14</v>
      </c>
      <c r="S145">
        <v>255</v>
      </c>
      <c r="T145">
        <v>5.7</v>
      </c>
      <c r="U145">
        <v>5</v>
      </c>
      <c r="V145">
        <v>0</v>
      </c>
      <c r="W145">
        <f t="shared" si="16"/>
        <v>753.30758937402231</v>
      </c>
      <c r="X145">
        <f t="shared" si="10"/>
        <v>22.389055844175587</v>
      </c>
    </row>
    <row r="146" spans="1:24" x14ac:dyDescent="0.2">
      <c r="A146" t="s">
        <v>285</v>
      </c>
      <c r="B146" t="s">
        <v>286</v>
      </c>
      <c r="C146">
        <v>1975</v>
      </c>
      <c r="D146">
        <v>0</v>
      </c>
      <c r="E146">
        <v>1</v>
      </c>
      <c r="F146">
        <v>59</v>
      </c>
      <c r="G146">
        <v>151</v>
      </c>
      <c r="H146">
        <f t="shared" si="7"/>
        <v>25.876058067628612</v>
      </c>
      <c r="I146">
        <v>79</v>
      </c>
      <c r="J146">
        <v>146</v>
      </c>
      <c r="K146">
        <v>7</v>
      </c>
      <c r="L146">
        <v>0</v>
      </c>
      <c r="M146">
        <v>0</v>
      </c>
      <c r="N146">
        <v>0</v>
      </c>
      <c r="O146">
        <v>172</v>
      </c>
      <c r="P146">
        <v>0</v>
      </c>
      <c r="Q146">
        <v>56</v>
      </c>
      <c r="R146">
        <v>65</v>
      </c>
      <c r="S146">
        <v>362</v>
      </c>
      <c r="T146">
        <v>9.6999999999999993</v>
      </c>
      <c r="U146">
        <v>8.1</v>
      </c>
      <c r="V146">
        <v>0</v>
      </c>
      <c r="W146">
        <f t="shared" si="16"/>
        <v>745.5983595189856</v>
      </c>
      <c r="X146">
        <f t="shared" si="10"/>
        <v>48.539025186025874</v>
      </c>
    </row>
    <row r="147" spans="1:24" x14ac:dyDescent="0.2">
      <c r="A147" t="s">
        <v>287</v>
      </c>
      <c r="B147" t="s">
        <v>288</v>
      </c>
      <c r="C147">
        <v>1988</v>
      </c>
      <c r="D147">
        <v>0</v>
      </c>
      <c r="E147">
        <v>1</v>
      </c>
      <c r="F147">
        <v>72</v>
      </c>
      <c r="G147">
        <v>160</v>
      </c>
      <c r="H147">
        <f t="shared" si="7"/>
        <v>28.124999999999993</v>
      </c>
      <c r="I147">
        <v>95</v>
      </c>
      <c r="J147">
        <v>99</v>
      </c>
      <c r="K147">
        <v>5.6</v>
      </c>
      <c r="L147">
        <v>0</v>
      </c>
      <c r="M147">
        <v>0</v>
      </c>
      <c r="N147">
        <v>0</v>
      </c>
      <c r="O147">
        <v>89</v>
      </c>
      <c r="P147">
        <v>0</v>
      </c>
      <c r="Q147">
        <v>58</v>
      </c>
      <c r="R147">
        <v>34</v>
      </c>
      <c r="S147">
        <v>251</v>
      </c>
      <c r="T147">
        <v>7.5</v>
      </c>
      <c r="U147">
        <v>5</v>
      </c>
      <c r="V147">
        <v>0</v>
      </c>
      <c r="W147">
        <f t="shared" si="16"/>
        <v>797.10785873414454</v>
      </c>
      <c r="X147">
        <f t="shared" si="10"/>
        <v>50.224306420961852</v>
      </c>
    </row>
    <row r="148" spans="1:24" x14ac:dyDescent="0.2">
      <c r="A148" t="s">
        <v>289</v>
      </c>
      <c r="B148" t="s">
        <v>290</v>
      </c>
      <c r="C148">
        <v>1984</v>
      </c>
      <c r="D148">
        <v>1</v>
      </c>
      <c r="E148">
        <v>1</v>
      </c>
      <c r="F148">
        <v>79</v>
      </c>
      <c r="G148">
        <v>177</v>
      </c>
      <c r="H148">
        <f t="shared" si="7"/>
        <v>25.216253311628201</v>
      </c>
      <c r="I148">
        <v>98</v>
      </c>
      <c r="J148">
        <v>99</v>
      </c>
      <c r="K148">
        <v>6.1</v>
      </c>
      <c r="L148">
        <v>0</v>
      </c>
      <c r="M148">
        <v>0</v>
      </c>
      <c r="N148">
        <v>0</v>
      </c>
      <c r="O148">
        <v>443</v>
      </c>
      <c r="P148">
        <v>0</v>
      </c>
      <c r="Q148">
        <v>36</v>
      </c>
      <c r="R148">
        <v>64</v>
      </c>
      <c r="S148">
        <v>327</v>
      </c>
      <c r="T148">
        <v>6.3</v>
      </c>
      <c r="U148">
        <v>7.2</v>
      </c>
      <c r="V148">
        <v>0</v>
      </c>
      <c r="W148">
        <f t="shared" si="16"/>
        <v>979.56315908273848</v>
      </c>
      <c r="X148">
        <f t="shared" ref="X148:X210" si="17">100*EXP(0.953*LN(O148)+0.139*H148+0.718*LN(R148)+0.053*I148-15.745)/(1+EXP(0.953*LN(O148)+0.139*H148+0.718*LN(R148)+0.053*I148-15.745))</f>
        <v>85.161309888997422</v>
      </c>
    </row>
    <row r="149" spans="1:24" x14ac:dyDescent="0.2">
      <c r="A149" t="s">
        <v>291</v>
      </c>
      <c r="B149" t="s">
        <v>292</v>
      </c>
      <c r="C149">
        <v>1980</v>
      </c>
      <c r="D149">
        <v>0</v>
      </c>
      <c r="E149">
        <v>1</v>
      </c>
      <c r="F149">
        <v>61</v>
      </c>
      <c r="G149">
        <v>151</v>
      </c>
      <c r="H149">
        <f t="shared" si="7"/>
        <v>26.753212578395683</v>
      </c>
      <c r="I149">
        <v>83</v>
      </c>
      <c r="J149">
        <v>106</v>
      </c>
      <c r="K149">
        <v>5.8</v>
      </c>
      <c r="L149">
        <v>0</v>
      </c>
      <c r="M149">
        <v>0</v>
      </c>
      <c r="N149">
        <v>0</v>
      </c>
      <c r="O149">
        <v>87</v>
      </c>
      <c r="P149">
        <v>1</v>
      </c>
      <c r="Q149">
        <v>58</v>
      </c>
      <c r="R149">
        <v>31</v>
      </c>
      <c r="S149">
        <v>292</v>
      </c>
      <c r="T149">
        <v>6.2</v>
      </c>
      <c r="U149">
        <v>6</v>
      </c>
      <c r="V149">
        <v>0</v>
      </c>
      <c r="W149">
        <f>LN(O149*J149/2)*I149</f>
        <v>700.20460267315661</v>
      </c>
      <c r="X149">
        <f t="shared" si="17"/>
        <v>28.788256425006914</v>
      </c>
    </row>
    <row r="150" spans="1:24" x14ac:dyDescent="0.2">
      <c r="A150" t="s">
        <v>293</v>
      </c>
      <c r="B150" t="s">
        <v>294</v>
      </c>
      <c r="C150">
        <v>1985</v>
      </c>
      <c r="D150">
        <v>0</v>
      </c>
      <c r="E150">
        <v>1</v>
      </c>
      <c r="F150">
        <v>55</v>
      </c>
      <c r="G150">
        <v>161</v>
      </c>
      <c r="H150">
        <f t="shared" si="7"/>
        <v>21.218317194552675</v>
      </c>
      <c r="I150">
        <v>78</v>
      </c>
      <c r="J150">
        <v>79</v>
      </c>
      <c r="K150">
        <v>5.0999999999999996</v>
      </c>
      <c r="L150">
        <v>0</v>
      </c>
      <c r="M150">
        <v>0</v>
      </c>
      <c r="N150">
        <v>0</v>
      </c>
      <c r="O150">
        <v>152</v>
      </c>
      <c r="P150">
        <v>0</v>
      </c>
      <c r="Q150">
        <v>53</v>
      </c>
      <c r="R150">
        <v>20</v>
      </c>
      <c r="S150">
        <v>209</v>
      </c>
      <c r="T150">
        <v>4.3</v>
      </c>
      <c r="U150">
        <v>4.7</v>
      </c>
      <c r="V150">
        <v>0</v>
      </c>
      <c r="W150">
        <f>LN(O150*J150/2)*I150</f>
        <v>678.61413303476161</v>
      </c>
      <c r="X150">
        <f t="shared" si="17"/>
        <v>15.149028957169307</v>
      </c>
    </row>
    <row r="151" spans="1:24" x14ac:dyDescent="0.2">
      <c r="A151" t="s">
        <v>295</v>
      </c>
      <c r="B151" t="s">
        <v>296</v>
      </c>
      <c r="C151">
        <v>1978</v>
      </c>
      <c r="D151">
        <v>1</v>
      </c>
      <c r="E151">
        <v>1</v>
      </c>
      <c r="F151">
        <v>62</v>
      </c>
      <c r="G151">
        <v>163</v>
      </c>
      <c r="H151">
        <f t="shared" si="7"/>
        <v>23.335466144755166</v>
      </c>
      <c r="I151">
        <v>84</v>
      </c>
      <c r="J151">
        <v>96</v>
      </c>
      <c r="K151">
        <v>5.4</v>
      </c>
      <c r="L151">
        <v>0</v>
      </c>
      <c r="M151">
        <v>0</v>
      </c>
      <c r="N151">
        <v>0</v>
      </c>
      <c r="O151">
        <v>86</v>
      </c>
      <c r="P151">
        <v>0</v>
      </c>
      <c r="Q151">
        <v>62</v>
      </c>
      <c r="R151">
        <v>29</v>
      </c>
      <c r="S151">
        <v>221</v>
      </c>
      <c r="T151">
        <v>6.3</v>
      </c>
      <c r="U151">
        <v>4.5999999999999996</v>
      </c>
      <c r="V151">
        <v>0</v>
      </c>
      <c r="W151">
        <f t="shared" ref="W151:W162" si="18">LN(O151*J151/2)*I151</f>
        <v>699.34605780155744</v>
      </c>
      <c r="X151">
        <f t="shared" si="17"/>
        <v>19.994169189615153</v>
      </c>
    </row>
    <row r="152" spans="1:24" hidden="1" x14ac:dyDescent="0.2">
      <c r="A152" t="s">
        <v>767</v>
      </c>
      <c r="B152" t="s">
        <v>768</v>
      </c>
      <c r="C152">
        <v>1973</v>
      </c>
      <c r="D152">
        <v>1</v>
      </c>
      <c r="E152">
        <v>1</v>
      </c>
      <c r="F152">
        <v>69</v>
      </c>
      <c r="G152">
        <v>168</v>
      </c>
      <c r="H152">
        <f t="shared" si="7"/>
        <v>24.447278911564631</v>
      </c>
      <c r="I152">
        <v>89</v>
      </c>
      <c r="J152">
        <v>97</v>
      </c>
      <c r="K152">
        <v>5.8</v>
      </c>
      <c r="L152">
        <v>0</v>
      </c>
      <c r="M152">
        <v>0</v>
      </c>
      <c r="N152">
        <v>1</v>
      </c>
      <c r="O152">
        <v>241</v>
      </c>
      <c r="P152">
        <v>0</v>
      </c>
      <c r="Q152">
        <v>63</v>
      </c>
      <c r="R152">
        <v>31</v>
      </c>
      <c r="S152">
        <v>241</v>
      </c>
      <c r="T152">
        <v>4.3</v>
      </c>
      <c r="U152">
        <v>4.8</v>
      </c>
      <c r="V152">
        <v>1</v>
      </c>
      <c r="W152">
        <f t="shared" si="18"/>
        <v>833.60610509763421</v>
      </c>
      <c r="X152">
        <f t="shared" si="17"/>
        <v>51.569136039618556</v>
      </c>
    </row>
    <row r="153" spans="1:24" x14ac:dyDescent="0.2">
      <c r="A153" t="s">
        <v>297</v>
      </c>
      <c r="B153" t="s">
        <v>298</v>
      </c>
      <c r="C153">
        <v>1982</v>
      </c>
      <c r="D153">
        <v>0</v>
      </c>
      <c r="E153">
        <v>1</v>
      </c>
      <c r="F153">
        <v>61</v>
      </c>
      <c r="G153">
        <v>155</v>
      </c>
      <c r="H153">
        <f t="shared" si="7"/>
        <v>25.390218522372525</v>
      </c>
      <c r="I153">
        <v>82</v>
      </c>
      <c r="J153">
        <v>101</v>
      </c>
      <c r="K153">
        <v>5.6</v>
      </c>
      <c r="L153">
        <v>0</v>
      </c>
      <c r="M153">
        <v>0</v>
      </c>
      <c r="N153">
        <v>0</v>
      </c>
      <c r="O153">
        <v>91</v>
      </c>
      <c r="P153">
        <v>0</v>
      </c>
      <c r="Q153">
        <v>61</v>
      </c>
      <c r="R153">
        <v>23</v>
      </c>
      <c r="S153">
        <v>249</v>
      </c>
      <c r="T153">
        <v>8.6</v>
      </c>
      <c r="U153">
        <v>4.8</v>
      </c>
      <c r="V153">
        <v>0</v>
      </c>
      <c r="W153">
        <f t="shared" si="18"/>
        <v>691.49229310944952</v>
      </c>
      <c r="X153">
        <f t="shared" si="17"/>
        <v>21.08805792024728</v>
      </c>
    </row>
    <row r="154" spans="1:24" x14ac:dyDescent="0.2">
      <c r="A154" t="s">
        <v>299</v>
      </c>
      <c r="B154" t="s">
        <v>300</v>
      </c>
      <c r="C154">
        <v>1986</v>
      </c>
      <c r="D154">
        <v>0</v>
      </c>
      <c r="E154">
        <v>1</v>
      </c>
      <c r="F154">
        <v>54</v>
      </c>
      <c r="G154">
        <v>154</v>
      </c>
      <c r="H154">
        <f t="shared" si="7"/>
        <v>22.769438353853939</v>
      </c>
      <c r="I154">
        <v>74</v>
      </c>
      <c r="J154">
        <v>83</v>
      </c>
      <c r="K154">
        <v>5.3</v>
      </c>
      <c r="L154">
        <v>0</v>
      </c>
      <c r="M154">
        <v>0</v>
      </c>
      <c r="N154">
        <v>0</v>
      </c>
      <c r="O154">
        <v>169</v>
      </c>
      <c r="P154">
        <v>0</v>
      </c>
      <c r="Q154">
        <v>61</v>
      </c>
      <c r="R154">
        <v>20</v>
      </c>
      <c r="S154">
        <v>271</v>
      </c>
      <c r="T154">
        <v>7.8</v>
      </c>
      <c r="U154">
        <v>5.2</v>
      </c>
      <c r="V154">
        <v>0</v>
      </c>
      <c r="W154">
        <f t="shared" si="18"/>
        <v>655.31381851981973</v>
      </c>
      <c r="X154">
        <f t="shared" si="17"/>
        <v>16.543685582794271</v>
      </c>
    </row>
    <row r="155" spans="1:24" x14ac:dyDescent="0.2">
      <c r="A155" t="s">
        <v>301</v>
      </c>
      <c r="B155" t="s">
        <v>303</v>
      </c>
      <c r="C155">
        <v>1995</v>
      </c>
      <c r="D155">
        <v>1</v>
      </c>
      <c r="E155">
        <v>1</v>
      </c>
      <c r="F155">
        <v>70</v>
      </c>
      <c r="G155">
        <v>163</v>
      </c>
      <c r="H155">
        <f t="shared" si="7"/>
        <v>26.346494034400994</v>
      </c>
      <c r="I155">
        <v>97</v>
      </c>
      <c r="J155">
        <v>86</v>
      </c>
      <c r="K155">
        <v>5.3</v>
      </c>
      <c r="L155">
        <v>0</v>
      </c>
      <c r="M155">
        <v>0</v>
      </c>
      <c r="N155">
        <v>0</v>
      </c>
      <c r="O155">
        <v>350</v>
      </c>
      <c r="P155">
        <v>0</v>
      </c>
      <c r="Q155">
        <v>47</v>
      </c>
      <c r="R155">
        <v>63</v>
      </c>
      <c r="S155">
        <v>297</v>
      </c>
      <c r="T155">
        <v>5.6</v>
      </c>
      <c r="U155">
        <v>6.1</v>
      </c>
      <c r="V155">
        <v>0</v>
      </c>
      <c r="W155">
        <f t="shared" si="18"/>
        <v>933.05592720717107</v>
      </c>
      <c r="X155">
        <f t="shared" si="17"/>
        <v>83.417963438684851</v>
      </c>
    </row>
    <row r="156" spans="1:24" x14ac:dyDescent="0.2">
      <c r="A156" t="s">
        <v>302</v>
      </c>
      <c r="B156" t="s">
        <v>769</v>
      </c>
      <c r="C156">
        <v>1992</v>
      </c>
      <c r="D156">
        <v>1</v>
      </c>
      <c r="E156">
        <v>1</v>
      </c>
      <c r="F156">
        <v>68</v>
      </c>
      <c r="G156">
        <v>164</v>
      </c>
      <c r="H156">
        <f t="shared" si="7"/>
        <v>25.282569898869724</v>
      </c>
      <c r="I156">
        <v>91</v>
      </c>
      <c r="J156">
        <v>81</v>
      </c>
      <c r="K156">
        <v>5.4</v>
      </c>
      <c r="L156">
        <v>0</v>
      </c>
      <c r="M156">
        <v>0</v>
      </c>
      <c r="N156">
        <v>0</v>
      </c>
      <c r="O156">
        <v>692</v>
      </c>
      <c r="P156">
        <v>0</v>
      </c>
      <c r="Q156">
        <v>35</v>
      </c>
      <c r="R156">
        <v>114</v>
      </c>
      <c r="S156">
        <v>367</v>
      </c>
      <c r="T156">
        <v>11.9</v>
      </c>
      <c r="U156">
        <v>8.1999999999999993</v>
      </c>
      <c r="V156">
        <v>0</v>
      </c>
      <c r="W156">
        <f t="shared" si="18"/>
        <v>931.92080160544492</v>
      </c>
      <c r="X156">
        <f t="shared" si="17"/>
        <v>90.248035850490567</v>
      </c>
    </row>
    <row r="157" spans="1:24" hidden="1" x14ac:dyDescent="0.2">
      <c r="A157" t="s">
        <v>770</v>
      </c>
      <c r="B157" t="s">
        <v>771</v>
      </c>
      <c r="C157">
        <v>1990</v>
      </c>
      <c r="D157">
        <v>1</v>
      </c>
      <c r="E157">
        <v>1</v>
      </c>
      <c r="F157">
        <v>66</v>
      </c>
      <c r="G157">
        <v>159</v>
      </c>
      <c r="H157">
        <f t="shared" si="7"/>
        <v>26.106562240417702</v>
      </c>
      <c r="I157">
        <v>89</v>
      </c>
      <c r="J157">
        <v>83</v>
      </c>
      <c r="K157">
        <v>4.92</v>
      </c>
      <c r="L157">
        <v>0</v>
      </c>
      <c r="M157">
        <v>0</v>
      </c>
      <c r="N157">
        <v>1</v>
      </c>
      <c r="O157">
        <v>149</v>
      </c>
      <c r="P157">
        <v>0</v>
      </c>
      <c r="Q157">
        <v>42</v>
      </c>
      <c r="R157">
        <v>117</v>
      </c>
      <c r="S157">
        <v>292</v>
      </c>
      <c r="T157">
        <v>5.3</v>
      </c>
      <c r="U157">
        <v>6</v>
      </c>
      <c r="V157">
        <v>1</v>
      </c>
      <c r="W157">
        <f t="shared" si="18"/>
        <v>776.93793625320791</v>
      </c>
      <c r="X157">
        <f t="shared" si="17"/>
        <v>68.75765879236387</v>
      </c>
    </row>
    <row r="158" spans="1:24" x14ac:dyDescent="0.2">
      <c r="A158" t="s">
        <v>304</v>
      </c>
      <c r="B158" t="s">
        <v>305</v>
      </c>
      <c r="C158">
        <v>1978</v>
      </c>
      <c r="D158">
        <v>0</v>
      </c>
      <c r="E158">
        <v>1</v>
      </c>
      <c r="F158">
        <v>53</v>
      </c>
      <c r="G158">
        <v>154</v>
      </c>
      <c r="H158">
        <f t="shared" si="7"/>
        <v>22.347782088041829</v>
      </c>
      <c r="I158">
        <v>73</v>
      </c>
      <c r="J158">
        <v>92</v>
      </c>
      <c r="K158">
        <v>4.92</v>
      </c>
      <c r="L158">
        <v>0</v>
      </c>
      <c r="M158">
        <v>0</v>
      </c>
      <c r="N158">
        <v>0</v>
      </c>
      <c r="O158">
        <v>79</v>
      </c>
      <c r="P158">
        <v>0</v>
      </c>
      <c r="Q158">
        <v>39</v>
      </c>
      <c r="R158">
        <v>9</v>
      </c>
      <c r="S158">
        <v>287</v>
      </c>
      <c r="T158">
        <v>5.4</v>
      </c>
      <c r="U158">
        <v>5.5</v>
      </c>
      <c r="V158">
        <v>0</v>
      </c>
      <c r="W158">
        <f t="shared" si="18"/>
        <v>598.46051517379647</v>
      </c>
      <c r="X158">
        <f t="shared" si="17"/>
        <v>4.6178279126521744</v>
      </c>
    </row>
    <row r="159" spans="1:24" x14ac:dyDescent="0.2">
      <c r="A159" t="s">
        <v>306</v>
      </c>
      <c r="B159" t="s">
        <v>307</v>
      </c>
      <c r="C159">
        <v>1990</v>
      </c>
      <c r="D159">
        <v>1</v>
      </c>
      <c r="E159">
        <v>1</v>
      </c>
      <c r="F159">
        <v>68</v>
      </c>
      <c r="G159">
        <v>164</v>
      </c>
      <c r="H159">
        <f t="shared" si="7"/>
        <v>25.282569898869724</v>
      </c>
      <c r="I159">
        <v>88</v>
      </c>
      <c r="J159">
        <v>103</v>
      </c>
      <c r="K159">
        <v>5.68</v>
      </c>
      <c r="L159">
        <v>0</v>
      </c>
      <c r="M159">
        <v>0</v>
      </c>
      <c r="N159">
        <v>0</v>
      </c>
      <c r="O159">
        <v>85</v>
      </c>
      <c r="P159">
        <v>0</v>
      </c>
      <c r="Q159">
        <v>46</v>
      </c>
      <c r="R159">
        <v>50</v>
      </c>
      <c r="S159">
        <v>325</v>
      </c>
      <c r="T159">
        <v>6.4</v>
      </c>
      <c r="U159">
        <v>7</v>
      </c>
      <c r="V159">
        <v>0</v>
      </c>
      <c r="W159">
        <f t="shared" si="18"/>
        <v>737.81250964608057</v>
      </c>
      <c r="X159">
        <f t="shared" si="17"/>
        <v>37.190718755905301</v>
      </c>
    </row>
    <row r="160" spans="1:24" hidden="1" x14ac:dyDescent="0.2">
      <c r="A160" t="s">
        <v>772</v>
      </c>
      <c r="B160" t="s">
        <v>773</v>
      </c>
      <c r="C160">
        <v>1997</v>
      </c>
      <c r="D160">
        <v>1</v>
      </c>
      <c r="E160">
        <v>1</v>
      </c>
      <c r="F160">
        <v>75</v>
      </c>
      <c r="G160">
        <v>170</v>
      </c>
      <c r="H160">
        <f t="shared" si="7"/>
        <v>25.95155709342561</v>
      </c>
      <c r="I160">
        <v>93</v>
      </c>
      <c r="J160">
        <v>101</v>
      </c>
      <c r="K160">
        <v>5.46</v>
      </c>
      <c r="L160">
        <v>0</v>
      </c>
      <c r="M160">
        <v>0</v>
      </c>
      <c r="N160">
        <v>0</v>
      </c>
      <c r="O160">
        <v>298</v>
      </c>
      <c r="P160">
        <v>0</v>
      </c>
      <c r="Q160">
        <v>52</v>
      </c>
      <c r="R160">
        <v>549</v>
      </c>
      <c r="S160">
        <v>320</v>
      </c>
      <c r="T160">
        <v>6.9</v>
      </c>
      <c r="U160">
        <v>6.7</v>
      </c>
      <c r="V160">
        <v>1</v>
      </c>
      <c r="W160">
        <f t="shared" si="18"/>
        <v>894.57321451916482</v>
      </c>
      <c r="X160">
        <f t="shared" si="17"/>
        <v>93.99026867693</v>
      </c>
    </row>
    <row r="161" spans="1:24" x14ac:dyDescent="0.2">
      <c r="A161" t="s">
        <v>308</v>
      </c>
      <c r="B161" t="s">
        <v>309</v>
      </c>
      <c r="C161">
        <v>1988</v>
      </c>
      <c r="D161">
        <v>0</v>
      </c>
      <c r="E161">
        <v>1</v>
      </c>
      <c r="F161">
        <v>57</v>
      </c>
      <c r="G161">
        <v>152</v>
      </c>
      <c r="H161">
        <f t="shared" si="7"/>
        <v>24.671052631578949</v>
      </c>
      <c r="I161">
        <v>83</v>
      </c>
      <c r="J161">
        <v>77</v>
      </c>
      <c r="K161">
        <v>5.41</v>
      </c>
      <c r="L161">
        <v>0</v>
      </c>
      <c r="M161">
        <v>0</v>
      </c>
      <c r="N161">
        <v>0</v>
      </c>
      <c r="O161">
        <v>93</v>
      </c>
      <c r="P161">
        <v>0</v>
      </c>
      <c r="Q161">
        <v>60</v>
      </c>
      <c r="R161">
        <v>12</v>
      </c>
      <c r="S161">
        <v>248</v>
      </c>
      <c r="T161">
        <v>4.9000000000000004</v>
      </c>
      <c r="U161">
        <v>4.8</v>
      </c>
      <c r="V161">
        <v>0</v>
      </c>
      <c r="W161">
        <f t="shared" si="18"/>
        <v>679.21039195910055</v>
      </c>
      <c r="X161">
        <f t="shared" si="17"/>
        <v>14.027673617825185</v>
      </c>
    </row>
    <row r="162" spans="1:24" x14ac:dyDescent="0.2">
      <c r="A162" t="s">
        <v>310</v>
      </c>
      <c r="B162" t="s">
        <v>311</v>
      </c>
      <c r="C162">
        <v>1994</v>
      </c>
      <c r="D162">
        <v>1</v>
      </c>
      <c r="E162">
        <v>1</v>
      </c>
      <c r="F162">
        <v>75</v>
      </c>
      <c r="G162">
        <v>168</v>
      </c>
      <c r="H162">
        <f t="shared" si="7"/>
        <v>26.573129251700685</v>
      </c>
      <c r="I162">
        <v>94</v>
      </c>
      <c r="J162">
        <v>94</v>
      </c>
      <c r="K162">
        <v>5.23</v>
      </c>
      <c r="L162">
        <v>0</v>
      </c>
      <c r="M162">
        <v>0</v>
      </c>
      <c r="N162">
        <v>0</v>
      </c>
      <c r="O162">
        <v>97</v>
      </c>
      <c r="P162">
        <v>0</v>
      </c>
      <c r="Q162">
        <v>47</v>
      </c>
      <c r="R162">
        <v>53</v>
      </c>
      <c r="S162">
        <v>279</v>
      </c>
      <c r="T162">
        <v>5.7</v>
      </c>
      <c r="U162">
        <v>5.5</v>
      </c>
      <c r="V162">
        <v>0</v>
      </c>
      <c r="W162">
        <f t="shared" si="18"/>
        <v>791.9367065400636</v>
      </c>
      <c r="X162">
        <f t="shared" si="17"/>
        <v>53.520020377358541</v>
      </c>
    </row>
    <row r="163" spans="1:24" hidden="1" x14ac:dyDescent="0.2">
      <c r="A163" t="s">
        <v>774</v>
      </c>
      <c r="B163" t="s">
        <v>775</v>
      </c>
      <c r="C163">
        <v>1967</v>
      </c>
      <c r="D163">
        <v>1</v>
      </c>
      <c r="E163">
        <v>1</v>
      </c>
      <c r="F163">
        <v>80</v>
      </c>
      <c r="G163">
        <v>177</v>
      </c>
      <c r="H163">
        <f t="shared" si="7"/>
        <v>25.535446391522228</v>
      </c>
      <c r="I163">
        <v>94</v>
      </c>
      <c r="J163">
        <v>114</v>
      </c>
      <c r="K163">
        <v>5.08</v>
      </c>
      <c r="L163">
        <v>1</v>
      </c>
      <c r="M163">
        <v>0</v>
      </c>
      <c r="N163">
        <v>1</v>
      </c>
      <c r="O163">
        <v>208</v>
      </c>
      <c r="P163">
        <v>1</v>
      </c>
      <c r="Q163">
        <v>47</v>
      </c>
      <c r="R163">
        <v>49</v>
      </c>
      <c r="S163">
        <v>320</v>
      </c>
      <c r="T163">
        <v>7.6</v>
      </c>
      <c r="U163">
        <v>6.8</v>
      </c>
      <c r="V163">
        <v>1</v>
      </c>
      <c r="W163">
        <f>LN(O163*J163/2)*I163</f>
        <v>881.77539866837151</v>
      </c>
      <c r="X163">
        <f t="shared" si="17"/>
        <v>66.092696432915986</v>
      </c>
    </row>
    <row r="164" spans="1:24" x14ac:dyDescent="0.2">
      <c r="A164" t="s">
        <v>312</v>
      </c>
      <c r="B164" t="s">
        <v>313</v>
      </c>
      <c r="C164">
        <v>1982</v>
      </c>
      <c r="D164">
        <v>1</v>
      </c>
      <c r="E164">
        <v>1</v>
      </c>
      <c r="F164">
        <v>56</v>
      </c>
      <c r="G164">
        <v>160</v>
      </c>
      <c r="H164">
        <f t="shared" si="7"/>
        <v>21.874999999999996</v>
      </c>
      <c r="I164">
        <v>80</v>
      </c>
      <c r="J164">
        <v>106</v>
      </c>
      <c r="K164">
        <v>5.75</v>
      </c>
      <c r="L164">
        <v>0</v>
      </c>
      <c r="M164">
        <v>0</v>
      </c>
      <c r="N164">
        <v>0</v>
      </c>
      <c r="O164">
        <v>89</v>
      </c>
      <c r="P164">
        <v>0</v>
      </c>
      <c r="Q164">
        <v>59</v>
      </c>
      <c r="R164">
        <v>125</v>
      </c>
      <c r="S164">
        <v>267</v>
      </c>
      <c r="T164">
        <v>7.5</v>
      </c>
      <c r="U164">
        <v>5.3</v>
      </c>
      <c r="V164">
        <v>0</v>
      </c>
      <c r="W164">
        <f>LN(O164*J164/2)*I164</f>
        <v>676.71426266274102</v>
      </c>
      <c r="X164">
        <f t="shared" si="17"/>
        <v>32.739842729109057</v>
      </c>
    </row>
    <row r="165" spans="1:24" x14ac:dyDescent="0.2">
      <c r="A165" t="s">
        <v>314</v>
      </c>
      <c r="B165" t="s">
        <v>315</v>
      </c>
      <c r="C165">
        <v>1981</v>
      </c>
      <c r="D165">
        <v>0</v>
      </c>
      <c r="E165">
        <v>1</v>
      </c>
      <c r="F165">
        <v>65</v>
      </c>
      <c r="G165">
        <v>159</v>
      </c>
      <c r="H165">
        <f t="shared" si="7"/>
        <v>25.711008267078039</v>
      </c>
      <c r="I165">
        <v>84</v>
      </c>
      <c r="J165">
        <v>92</v>
      </c>
      <c r="K165">
        <v>5.6</v>
      </c>
      <c r="L165">
        <v>0</v>
      </c>
      <c r="M165">
        <v>0</v>
      </c>
      <c r="N165">
        <v>1</v>
      </c>
      <c r="O165">
        <v>238</v>
      </c>
      <c r="P165">
        <v>0</v>
      </c>
      <c r="Q165">
        <v>40</v>
      </c>
      <c r="R165">
        <v>18</v>
      </c>
      <c r="S165">
        <v>199</v>
      </c>
      <c r="T165">
        <v>4.5</v>
      </c>
      <c r="U165">
        <v>4.2</v>
      </c>
      <c r="V165">
        <v>0</v>
      </c>
      <c r="W165">
        <f t="shared" ref="W165:W173" si="19">LN(O165*J165/2)*I165</f>
        <v>781.27661389348782</v>
      </c>
      <c r="X165">
        <f t="shared" si="17"/>
        <v>39.441077276913823</v>
      </c>
    </row>
    <row r="166" spans="1:24" x14ac:dyDescent="0.2">
      <c r="A166" t="s">
        <v>316</v>
      </c>
      <c r="B166" t="s">
        <v>317</v>
      </c>
      <c r="C166">
        <v>1974</v>
      </c>
      <c r="D166">
        <v>0</v>
      </c>
      <c r="E166">
        <v>1</v>
      </c>
      <c r="F166">
        <v>60</v>
      </c>
      <c r="G166">
        <v>149</v>
      </c>
      <c r="H166">
        <f t="shared" si="7"/>
        <v>27.025809648214047</v>
      </c>
      <c r="I166">
        <v>92</v>
      </c>
      <c r="J166">
        <v>114</v>
      </c>
      <c r="K166">
        <v>6.04</v>
      </c>
      <c r="L166">
        <v>0</v>
      </c>
      <c r="M166">
        <v>0</v>
      </c>
      <c r="N166">
        <v>1</v>
      </c>
      <c r="O166">
        <v>104</v>
      </c>
      <c r="P166">
        <v>0</v>
      </c>
      <c r="Q166">
        <v>45</v>
      </c>
      <c r="R166">
        <v>59</v>
      </c>
      <c r="S166">
        <v>341</v>
      </c>
      <c r="T166">
        <v>7.6</v>
      </c>
      <c r="U166">
        <v>7.7</v>
      </c>
      <c r="V166">
        <v>0</v>
      </c>
      <c r="W166">
        <f t="shared" si="19"/>
        <v>799.24467936178496</v>
      </c>
      <c r="X166">
        <f t="shared" si="17"/>
        <v>56.004974654473145</v>
      </c>
    </row>
    <row r="167" spans="1:24" x14ac:dyDescent="0.2">
      <c r="A167" t="s">
        <v>322</v>
      </c>
      <c r="B167" t="s">
        <v>323</v>
      </c>
      <c r="C167">
        <v>1984</v>
      </c>
      <c r="D167">
        <v>1</v>
      </c>
      <c r="E167">
        <v>1</v>
      </c>
      <c r="F167">
        <v>84</v>
      </c>
      <c r="G167">
        <v>173</v>
      </c>
      <c r="H167">
        <f t="shared" si="7"/>
        <v>28.06642386982525</v>
      </c>
      <c r="I167">
        <v>93</v>
      </c>
      <c r="J167">
        <v>81</v>
      </c>
      <c r="K167">
        <v>5.4</v>
      </c>
      <c r="L167">
        <v>0</v>
      </c>
      <c r="M167">
        <v>0</v>
      </c>
      <c r="N167">
        <v>0</v>
      </c>
      <c r="O167">
        <v>172</v>
      </c>
      <c r="P167">
        <v>0</v>
      </c>
      <c r="Q167">
        <v>47</v>
      </c>
      <c r="R167">
        <v>40</v>
      </c>
      <c r="S167">
        <v>249</v>
      </c>
      <c r="T167">
        <v>7.2</v>
      </c>
      <c r="U167">
        <v>5</v>
      </c>
      <c r="V167">
        <v>0</v>
      </c>
      <c r="W167">
        <f t="shared" si="19"/>
        <v>822.93806993611315</v>
      </c>
      <c r="X167">
        <f t="shared" si="17"/>
        <v>65.462021431533159</v>
      </c>
    </row>
    <row r="168" spans="1:24" hidden="1" x14ac:dyDescent="0.2">
      <c r="A168" t="s">
        <v>776</v>
      </c>
      <c r="B168" t="s">
        <v>777</v>
      </c>
      <c r="C168">
        <v>1970</v>
      </c>
      <c r="D168">
        <v>1</v>
      </c>
      <c r="E168">
        <v>1</v>
      </c>
      <c r="F168">
        <v>69</v>
      </c>
      <c r="G168">
        <v>170</v>
      </c>
      <c r="H168">
        <f t="shared" si="7"/>
        <v>23.87543252595156</v>
      </c>
      <c r="I168">
        <v>92</v>
      </c>
      <c r="J168">
        <v>110</v>
      </c>
      <c r="K168">
        <v>5.78</v>
      </c>
      <c r="L168">
        <v>0</v>
      </c>
      <c r="M168">
        <v>0</v>
      </c>
      <c r="N168">
        <v>0</v>
      </c>
      <c r="O168">
        <v>127</v>
      </c>
      <c r="P168">
        <v>0</v>
      </c>
      <c r="Q168">
        <v>59</v>
      </c>
      <c r="R168">
        <v>42</v>
      </c>
      <c r="S168">
        <v>265</v>
      </c>
      <c r="T168">
        <v>7.1</v>
      </c>
      <c r="U168">
        <v>5.3</v>
      </c>
      <c r="V168">
        <v>1</v>
      </c>
      <c r="W168">
        <f t="shared" si="19"/>
        <v>814.33986499557761</v>
      </c>
      <c r="X168">
        <f t="shared" si="17"/>
        <v>43.778465964287633</v>
      </c>
    </row>
    <row r="169" spans="1:24" hidden="1" x14ac:dyDescent="0.2">
      <c r="A169" t="s">
        <v>778</v>
      </c>
      <c r="B169" t="s">
        <v>779</v>
      </c>
      <c r="C169">
        <v>1993</v>
      </c>
      <c r="D169">
        <v>1</v>
      </c>
      <c r="E169">
        <v>1</v>
      </c>
      <c r="F169">
        <v>66</v>
      </c>
      <c r="G169">
        <v>163</v>
      </c>
      <c r="H169">
        <f t="shared" si="7"/>
        <v>24.840980089578082</v>
      </c>
      <c r="I169">
        <v>89</v>
      </c>
      <c r="J169">
        <v>97</v>
      </c>
      <c r="K169">
        <v>5.81</v>
      </c>
      <c r="L169">
        <v>0</v>
      </c>
      <c r="M169">
        <v>0</v>
      </c>
      <c r="N169">
        <v>0</v>
      </c>
      <c r="O169">
        <v>298</v>
      </c>
      <c r="P169">
        <v>0</v>
      </c>
      <c r="Q169">
        <v>54</v>
      </c>
      <c r="R169">
        <v>186</v>
      </c>
      <c r="S169">
        <v>217</v>
      </c>
      <c r="T169">
        <v>4.8</v>
      </c>
      <c r="U169">
        <v>4.7</v>
      </c>
      <c r="V169">
        <v>1</v>
      </c>
      <c r="W169">
        <f t="shared" si="19"/>
        <v>852.50049831594686</v>
      </c>
      <c r="X169">
        <f t="shared" si="17"/>
        <v>83.289878713019121</v>
      </c>
    </row>
    <row r="170" spans="1:24" hidden="1" x14ac:dyDescent="0.2">
      <c r="A170" t="s">
        <v>780</v>
      </c>
      <c r="B170" t="s">
        <v>781</v>
      </c>
      <c r="C170">
        <v>1968</v>
      </c>
      <c r="D170">
        <v>1</v>
      </c>
      <c r="E170">
        <v>1</v>
      </c>
      <c r="F170">
        <v>66</v>
      </c>
      <c r="G170">
        <v>159</v>
      </c>
      <c r="H170">
        <f t="shared" si="7"/>
        <v>26.106562240417702</v>
      </c>
      <c r="I170">
        <v>95</v>
      </c>
      <c r="J170">
        <v>139</v>
      </c>
      <c r="K170">
        <v>5.24</v>
      </c>
      <c r="L170">
        <v>0</v>
      </c>
      <c r="M170">
        <v>0</v>
      </c>
      <c r="N170">
        <v>1</v>
      </c>
      <c r="O170">
        <v>158</v>
      </c>
      <c r="P170">
        <v>0</v>
      </c>
      <c r="Q170">
        <v>47</v>
      </c>
      <c r="R170">
        <v>35</v>
      </c>
      <c r="S170">
        <v>238</v>
      </c>
      <c r="T170">
        <v>6.1</v>
      </c>
      <c r="U170">
        <v>4.5999999999999996</v>
      </c>
      <c r="V170">
        <v>1</v>
      </c>
      <c r="W170">
        <f t="shared" si="19"/>
        <v>883.87256963178277</v>
      </c>
      <c r="X170">
        <f t="shared" si="17"/>
        <v>57.351456729875956</v>
      </c>
    </row>
    <row r="171" spans="1:24" x14ac:dyDescent="0.2">
      <c r="A171" t="s">
        <v>324</v>
      </c>
      <c r="B171" t="s">
        <v>325</v>
      </c>
      <c r="C171">
        <v>1966</v>
      </c>
      <c r="D171">
        <v>0</v>
      </c>
      <c r="E171">
        <v>1</v>
      </c>
      <c r="F171">
        <v>61</v>
      </c>
      <c r="G171">
        <v>153</v>
      </c>
      <c r="H171">
        <f t="shared" si="7"/>
        <v>26.058353624674272</v>
      </c>
      <c r="I171">
        <v>93</v>
      </c>
      <c r="J171">
        <v>92</v>
      </c>
      <c r="K171">
        <v>6.27</v>
      </c>
      <c r="L171">
        <v>1</v>
      </c>
      <c r="M171">
        <v>0</v>
      </c>
      <c r="N171">
        <v>1</v>
      </c>
      <c r="O171">
        <v>148</v>
      </c>
      <c r="P171">
        <v>1</v>
      </c>
      <c r="Q171">
        <v>58</v>
      </c>
      <c r="R171">
        <v>47</v>
      </c>
      <c r="S171">
        <v>333</v>
      </c>
      <c r="T171">
        <v>8.5</v>
      </c>
      <c r="U171">
        <v>7.2</v>
      </c>
      <c r="V171">
        <v>0</v>
      </c>
      <c r="W171">
        <f t="shared" si="19"/>
        <v>820.80439133354855</v>
      </c>
      <c r="X171">
        <f t="shared" si="17"/>
        <v>58.245520001633643</v>
      </c>
    </row>
    <row r="172" spans="1:24" x14ac:dyDescent="0.2">
      <c r="A172" t="s">
        <v>326</v>
      </c>
      <c r="B172" t="s">
        <v>327</v>
      </c>
      <c r="C172">
        <v>1996</v>
      </c>
      <c r="D172">
        <v>1</v>
      </c>
      <c r="E172">
        <v>1</v>
      </c>
      <c r="F172">
        <v>67</v>
      </c>
      <c r="G172">
        <v>158</v>
      </c>
      <c r="H172">
        <f t="shared" si="7"/>
        <v>26.83864765261977</v>
      </c>
      <c r="I172">
        <v>91</v>
      </c>
      <c r="J172">
        <v>103</v>
      </c>
      <c r="K172">
        <v>5.61</v>
      </c>
      <c r="L172">
        <v>0</v>
      </c>
      <c r="M172">
        <v>0</v>
      </c>
      <c r="N172">
        <v>0</v>
      </c>
      <c r="O172">
        <v>179</v>
      </c>
      <c r="P172">
        <v>0</v>
      </c>
      <c r="Q172">
        <v>34</v>
      </c>
      <c r="R172">
        <v>95</v>
      </c>
      <c r="S172">
        <v>294</v>
      </c>
      <c r="T172">
        <v>5.7</v>
      </c>
      <c r="U172">
        <v>6</v>
      </c>
      <c r="V172">
        <v>0</v>
      </c>
      <c r="W172">
        <f t="shared" si="19"/>
        <v>830.7360528294505</v>
      </c>
      <c r="X172">
        <f t="shared" si="17"/>
        <v>73.532974578059083</v>
      </c>
    </row>
    <row r="173" spans="1:24" x14ac:dyDescent="0.2">
      <c r="A173" t="s">
        <v>328</v>
      </c>
      <c r="B173" t="s">
        <v>329</v>
      </c>
      <c r="C173">
        <v>1993</v>
      </c>
      <c r="D173">
        <v>1</v>
      </c>
      <c r="E173">
        <v>1</v>
      </c>
      <c r="F173">
        <v>84</v>
      </c>
      <c r="G173">
        <v>173</v>
      </c>
      <c r="H173">
        <f t="shared" si="7"/>
        <v>28.06642386982525</v>
      </c>
      <c r="I173">
        <v>98</v>
      </c>
      <c r="J173">
        <v>101</v>
      </c>
      <c r="K173">
        <v>5.43</v>
      </c>
      <c r="L173">
        <v>0</v>
      </c>
      <c r="M173">
        <v>0</v>
      </c>
      <c r="N173">
        <v>0</v>
      </c>
      <c r="O173">
        <v>89</v>
      </c>
      <c r="P173">
        <v>0</v>
      </c>
      <c r="Q173">
        <v>42</v>
      </c>
      <c r="R173">
        <v>18</v>
      </c>
      <c r="S173">
        <v>266</v>
      </c>
      <c r="T173">
        <v>6</v>
      </c>
      <c r="U173">
        <v>5.2</v>
      </c>
      <c r="V173">
        <v>0</v>
      </c>
      <c r="W173">
        <f t="shared" si="19"/>
        <v>824.23975118931855</v>
      </c>
      <c r="X173">
        <f t="shared" si="17"/>
        <v>42.633756324790689</v>
      </c>
    </row>
    <row r="174" spans="1:24" x14ac:dyDescent="0.2">
      <c r="A174" t="s">
        <v>330</v>
      </c>
      <c r="B174" t="s">
        <v>331</v>
      </c>
      <c r="C174">
        <v>1986</v>
      </c>
      <c r="D174">
        <v>1</v>
      </c>
      <c r="E174">
        <v>1</v>
      </c>
      <c r="F174">
        <v>68</v>
      </c>
      <c r="G174">
        <v>169</v>
      </c>
      <c r="H174">
        <f t="shared" si="7"/>
        <v>23.808690171912751</v>
      </c>
      <c r="I174">
        <v>90</v>
      </c>
      <c r="J174">
        <v>94</v>
      </c>
      <c r="K174">
        <v>5.45</v>
      </c>
      <c r="L174">
        <v>0</v>
      </c>
      <c r="M174">
        <v>0</v>
      </c>
      <c r="N174">
        <v>0</v>
      </c>
      <c r="O174">
        <v>236</v>
      </c>
      <c r="P174">
        <v>0</v>
      </c>
      <c r="Q174">
        <v>48</v>
      </c>
      <c r="R174">
        <v>47</v>
      </c>
      <c r="S174">
        <v>244</v>
      </c>
      <c r="T174">
        <v>5.6</v>
      </c>
      <c r="U174">
        <v>4.7</v>
      </c>
      <c r="V174">
        <v>0</v>
      </c>
      <c r="W174">
        <f>LN(O174*J174/2)*I174</f>
        <v>838.25814660621018</v>
      </c>
      <c r="X174">
        <f t="shared" si="17"/>
        <v>57.587090207656736</v>
      </c>
    </row>
    <row r="175" spans="1:24" x14ac:dyDescent="0.2">
      <c r="A175" t="s">
        <v>332</v>
      </c>
      <c r="B175" t="s">
        <v>333</v>
      </c>
      <c r="C175">
        <v>1953</v>
      </c>
      <c r="D175">
        <v>0</v>
      </c>
      <c r="E175">
        <v>1</v>
      </c>
      <c r="F175">
        <v>55</v>
      </c>
      <c r="G175">
        <v>155</v>
      </c>
      <c r="H175">
        <f t="shared" si="7"/>
        <v>22.892819979188342</v>
      </c>
      <c r="I175">
        <v>84</v>
      </c>
      <c r="J175">
        <v>105</v>
      </c>
      <c r="K175">
        <v>5.62</v>
      </c>
      <c r="L175">
        <v>0</v>
      </c>
      <c r="M175">
        <v>0</v>
      </c>
      <c r="N175">
        <v>1</v>
      </c>
      <c r="O175">
        <v>142</v>
      </c>
      <c r="P175">
        <v>0</v>
      </c>
      <c r="Q175">
        <v>56</v>
      </c>
      <c r="R175">
        <v>36</v>
      </c>
      <c r="S175">
        <v>265</v>
      </c>
      <c r="T175">
        <v>5.0999999999999996</v>
      </c>
      <c r="U175">
        <v>5.2</v>
      </c>
      <c r="V175">
        <v>0</v>
      </c>
      <c r="W175">
        <f>LN(O175*J175/2)*I175</f>
        <v>748.99777908470242</v>
      </c>
      <c r="X175">
        <f t="shared" si="17"/>
        <v>30.682004468842834</v>
      </c>
    </row>
    <row r="176" spans="1:24" x14ac:dyDescent="0.2">
      <c r="A176" t="s">
        <v>334</v>
      </c>
      <c r="B176" t="s">
        <v>335</v>
      </c>
      <c r="C176">
        <v>1984</v>
      </c>
      <c r="D176">
        <v>1</v>
      </c>
      <c r="E176">
        <v>1</v>
      </c>
      <c r="F176">
        <v>82</v>
      </c>
      <c r="G176">
        <v>171</v>
      </c>
      <c r="H176">
        <f t="shared" si="7"/>
        <v>28.042816593139772</v>
      </c>
      <c r="I176">
        <v>104</v>
      </c>
      <c r="J176">
        <v>126</v>
      </c>
      <c r="K176">
        <v>7.3</v>
      </c>
      <c r="L176">
        <v>0</v>
      </c>
      <c r="M176">
        <v>0</v>
      </c>
      <c r="N176">
        <v>0</v>
      </c>
      <c r="O176">
        <v>125</v>
      </c>
      <c r="P176">
        <v>0</v>
      </c>
      <c r="Q176">
        <v>55</v>
      </c>
      <c r="R176">
        <v>90</v>
      </c>
      <c r="S176">
        <v>307</v>
      </c>
      <c r="T176">
        <v>8.6</v>
      </c>
      <c r="U176">
        <v>6.1</v>
      </c>
      <c r="V176">
        <v>0</v>
      </c>
      <c r="W176">
        <f t="shared" ref="W176:W188" si="20">LN(O176*J176/2)*I176</f>
        <v>933.03064022415879</v>
      </c>
      <c r="X176">
        <f t="shared" si="17"/>
        <v>81.71561722067031</v>
      </c>
    </row>
    <row r="177" spans="1:24" x14ac:dyDescent="0.2">
      <c r="A177" t="s">
        <v>336</v>
      </c>
      <c r="B177" t="s">
        <v>337</v>
      </c>
      <c r="C177">
        <v>1960</v>
      </c>
      <c r="D177">
        <v>0</v>
      </c>
      <c r="E177">
        <v>1</v>
      </c>
      <c r="F177">
        <v>52</v>
      </c>
      <c r="G177">
        <v>155</v>
      </c>
      <c r="H177">
        <f t="shared" si="7"/>
        <v>21.644120707596251</v>
      </c>
      <c r="I177">
        <v>80</v>
      </c>
      <c r="J177">
        <v>139</v>
      </c>
      <c r="K177">
        <v>7.05</v>
      </c>
      <c r="L177">
        <v>1</v>
      </c>
      <c r="M177">
        <v>0</v>
      </c>
      <c r="N177">
        <v>0</v>
      </c>
      <c r="O177">
        <v>81</v>
      </c>
      <c r="P177">
        <v>0</v>
      </c>
      <c r="Q177">
        <v>78</v>
      </c>
      <c r="R177">
        <v>13</v>
      </c>
      <c r="S177">
        <v>244</v>
      </c>
      <c r="T177">
        <v>4.3</v>
      </c>
      <c r="U177">
        <v>4.8</v>
      </c>
      <c r="V177">
        <v>0</v>
      </c>
      <c r="W177">
        <f t="shared" si="20"/>
        <v>690.86207257945478</v>
      </c>
      <c r="X177">
        <f t="shared" si="17"/>
        <v>7.8209738784397089</v>
      </c>
    </row>
    <row r="178" spans="1:24" x14ac:dyDescent="0.2">
      <c r="A178" t="s">
        <v>338</v>
      </c>
      <c r="B178" t="s">
        <v>339</v>
      </c>
      <c r="C178">
        <v>1958</v>
      </c>
      <c r="D178">
        <v>0</v>
      </c>
      <c r="E178">
        <v>1</v>
      </c>
      <c r="F178">
        <v>60</v>
      </c>
      <c r="G178">
        <v>148</v>
      </c>
      <c r="H178">
        <f t="shared" si="7"/>
        <v>27.392257121986852</v>
      </c>
      <c r="I178">
        <v>104</v>
      </c>
      <c r="J178">
        <v>96</v>
      </c>
      <c r="K178">
        <v>5.91</v>
      </c>
      <c r="L178">
        <v>1</v>
      </c>
      <c r="M178">
        <v>0</v>
      </c>
      <c r="N178">
        <v>0</v>
      </c>
      <c r="O178">
        <v>106</v>
      </c>
      <c r="P178">
        <v>1</v>
      </c>
      <c r="Q178">
        <v>64</v>
      </c>
      <c r="R178">
        <v>32</v>
      </c>
      <c r="S178">
        <v>289</v>
      </c>
      <c r="T178">
        <v>6.9</v>
      </c>
      <c r="U178">
        <v>5.8</v>
      </c>
      <c r="V178">
        <v>0</v>
      </c>
      <c r="W178">
        <f t="shared" si="20"/>
        <v>887.60257092207564</v>
      </c>
      <c r="X178">
        <f t="shared" si="17"/>
        <v>62.414506859341067</v>
      </c>
    </row>
    <row r="179" spans="1:24" hidden="1" x14ac:dyDescent="0.2">
      <c r="A179" t="s">
        <v>340</v>
      </c>
      <c r="B179" t="s">
        <v>341</v>
      </c>
      <c r="C179">
        <v>1988</v>
      </c>
      <c r="D179">
        <v>0</v>
      </c>
      <c r="E179">
        <v>1</v>
      </c>
      <c r="F179">
        <v>99</v>
      </c>
      <c r="G179">
        <v>163</v>
      </c>
      <c r="H179">
        <f t="shared" si="7"/>
        <v>37.261470134367123</v>
      </c>
      <c r="I179">
        <v>112</v>
      </c>
      <c r="J179">
        <v>101</v>
      </c>
      <c r="K179">
        <v>5.66</v>
      </c>
      <c r="L179">
        <v>0</v>
      </c>
      <c r="M179">
        <v>0</v>
      </c>
      <c r="N179">
        <v>0</v>
      </c>
      <c r="O179">
        <v>232</v>
      </c>
      <c r="P179">
        <v>0</v>
      </c>
      <c r="Q179">
        <v>45</v>
      </c>
      <c r="R179">
        <v>151</v>
      </c>
      <c r="S179">
        <v>328</v>
      </c>
      <c r="T179">
        <v>13.3</v>
      </c>
      <c r="U179">
        <v>7.2</v>
      </c>
      <c r="V179">
        <v>1</v>
      </c>
      <c r="W179">
        <f t="shared" si="20"/>
        <v>1049.2955992901339</v>
      </c>
      <c r="X179">
        <f t="shared" si="17"/>
        <v>98.468504424478908</v>
      </c>
    </row>
    <row r="180" spans="1:24" x14ac:dyDescent="0.2">
      <c r="A180" t="s">
        <v>342</v>
      </c>
      <c r="B180" t="s">
        <v>343</v>
      </c>
      <c r="C180">
        <v>1987</v>
      </c>
      <c r="D180">
        <v>1</v>
      </c>
      <c r="E180">
        <v>1</v>
      </c>
      <c r="F180">
        <v>72</v>
      </c>
      <c r="G180">
        <v>167</v>
      </c>
      <c r="H180">
        <f t="shared" si="7"/>
        <v>25.816630212628635</v>
      </c>
      <c r="I180">
        <v>89</v>
      </c>
      <c r="J180">
        <v>85</v>
      </c>
      <c r="K180">
        <v>5.37</v>
      </c>
      <c r="L180">
        <v>0</v>
      </c>
      <c r="M180">
        <v>0</v>
      </c>
      <c r="N180">
        <v>0</v>
      </c>
      <c r="O180">
        <v>131</v>
      </c>
      <c r="P180">
        <v>0</v>
      </c>
      <c r="Q180">
        <v>41</v>
      </c>
      <c r="R180">
        <v>29</v>
      </c>
      <c r="S180">
        <v>260</v>
      </c>
      <c r="T180">
        <v>5.4</v>
      </c>
      <c r="U180">
        <v>5.0999999999999996</v>
      </c>
      <c r="V180">
        <v>0</v>
      </c>
      <c r="W180">
        <f t="shared" si="20"/>
        <v>767.5984245227055</v>
      </c>
      <c r="X180">
        <f t="shared" si="17"/>
        <v>40.716274546759898</v>
      </c>
    </row>
    <row r="181" spans="1:24" x14ac:dyDescent="0.2">
      <c r="A181" t="s">
        <v>344</v>
      </c>
      <c r="B181" t="s">
        <v>345</v>
      </c>
      <c r="C181">
        <v>1999</v>
      </c>
      <c r="D181">
        <v>1</v>
      </c>
      <c r="E181">
        <v>1</v>
      </c>
      <c r="F181">
        <v>86</v>
      </c>
      <c r="G181">
        <v>169</v>
      </c>
      <c r="H181">
        <f t="shared" si="7"/>
        <v>30.110990511536716</v>
      </c>
      <c r="I181">
        <v>98</v>
      </c>
      <c r="J181">
        <v>86</v>
      </c>
      <c r="K181">
        <v>4.7</v>
      </c>
      <c r="L181">
        <v>0</v>
      </c>
      <c r="M181">
        <v>0</v>
      </c>
      <c r="N181">
        <v>0</v>
      </c>
      <c r="O181">
        <v>223</v>
      </c>
      <c r="P181">
        <v>0</v>
      </c>
      <c r="Q181">
        <v>47</v>
      </c>
      <c r="R181">
        <v>80</v>
      </c>
      <c r="S181">
        <v>335</v>
      </c>
      <c r="T181">
        <v>5.6</v>
      </c>
      <c r="U181">
        <v>7.5</v>
      </c>
      <c r="V181">
        <v>0</v>
      </c>
      <c r="W181">
        <f t="shared" si="20"/>
        <v>898.50044494106066</v>
      </c>
      <c r="X181">
        <f t="shared" si="17"/>
        <v>87.366473564802646</v>
      </c>
    </row>
    <row r="182" spans="1:24" x14ac:dyDescent="0.2">
      <c r="A182" t="s">
        <v>346</v>
      </c>
      <c r="B182" t="s">
        <v>347</v>
      </c>
      <c r="C182">
        <v>1949</v>
      </c>
      <c r="D182">
        <v>1</v>
      </c>
      <c r="E182">
        <v>1</v>
      </c>
      <c r="F182">
        <v>64</v>
      </c>
      <c r="G182">
        <v>157</v>
      </c>
      <c r="H182">
        <f t="shared" si="7"/>
        <v>25.96454217209623</v>
      </c>
      <c r="I182">
        <v>90</v>
      </c>
      <c r="J182">
        <v>94</v>
      </c>
      <c r="K182">
        <v>5.87</v>
      </c>
      <c r="L182">
        <v>0</v>
      </c>
      <c r="M182">
        <v>0</v>
      </c>
      <c r="N182">
        <v>0</v>
      </c>
      <c r="O182">
        <v>173</v>
      </c>
      <c r="P182">
        <v>0</v>
      </c>
      <c r="Q182">
        <v>37</v>
      </c>
      <c r="R182">
        <v>17</v>
      </c>
      <c r="S182">
        <v>258</v>
      </c>
      <c r="T182">
        <v>6.8</v>
      </c>
      <c r="U182">
        <v>5.0999999999999996</v>
      </c>
      <c r="V182">
        <v>0</v>
      </c>
      <c r="W182">
        <f t="shared" si="20"/>
        <v>810.30952765870541</v>
      </c>
      <c r="X182">
        <f t="shared" si="17"/>
        <v>39.637448411453697</v>
      </c>
    </row>
    <row r="183" spans="1:24" x14ac:dyDescent="0.2">
      <c r="A183" t="s">
        <v>348</v>
      </c>
      <c r="B183" t="s">
        <v>349</v>
      </c>
      <c r="C183">
        <v>1977</v>
      </c>
      <c r="D183">
        <v>0</v>
      </c>
      <c r="E183">
        <v>1</v>
      </c>
      <c r="F183">
        <v>63</v>
      </c>
      <c r="G183">
        <v>149</v>
      </c>
      <c r="H183">
        <f t="shared" si="7"/>
        <v>28.377100130624747</v>
      </c>
      <c r="I183">
        <v>86</v>
      </c>
      <c r="J183">
        <v>96</v>
      </c>
      <c r="K183">
        <v>5.76</v>
      </c>
      <c r="L183">
        <v>0</v>
      </c>
      <c r="M183">
        <v>0</v>
      </c>
      <c r="N183">
        <v>0</v>
      </c>
      <c r="O183">
        <v>217</v>
      </c>
      <c r="P183">
        <v>0</v>
      </c>
      <c r="Q183">
        <v>44</v>
      </c>
      <c r="R183">
        <v>43</v>
      </c>
      <c r="S183">
        <v>345</v>
      </c>
      <c r="T183">
        <v>7.5</v>
      </c>
      <c r="U183">
        <v>7.8</v>
      </c>
      <c r="V183">
        <v>0</v>
      </c>
      <c r="W183">
        <f t="shared" si="20"/>
        <v>795.59445934255825</v>
      </c>
      <c r="X183">
        <f t="shared" si="17"/>
        <v>64.221727198580425</v>
      </c>
    </row>
    <row r="184" spans="1:24" x14ac:dyDescent="0.2">
      <c r="A184" t="s">
        <v>350</v>
      </c>
      <c r="B184" t="s">
        <v>351</v>
      </c>
      <c r="C184">
        <v>1978</v>
      </c>
      <c r="D184">
        <v>0</v>
      </c>
      <c r="E184">
        <v>1</v>
      </c>
      <c r="F184">
        <v>58</v>
      </c>
      <c r="G184">
        <v>146</v>
      </c>
      <c r="H184">
        <f t="shared" si="7"/>
        <v>27.209607806342657</v>
      </c>
      <c r="I184">
        <v>80</v>
      </c>
      <c r="J184">
        <v>77</v>
      </c>
      <c r="K184">
        <v>5.16</v>
      </c>
      <c r="L184">
        <v>0</v>
      </c>
      <c r="M184">
        <v>0</v>
      </c>
      <c r="N184">
        <v>0</v>
      </c>
      <c r="O184">
        <v>88</v>
      </c>
      <c r="P184">
        <v>0</v>
      </c>
      <c r="Q184">
        <v>49</v>
      </c>
      <c r="R184">
        <v>20</v>
      </c>
      <c r="S184">
        <v>260</v>
      </c>
      <c r="T184">
        <v>6.2</v>
      </c>
      <c r="U184">
        <v>5</v>
      </c>
      <c r="V184">
        <v>0</v>
      </c>
      <c r="W184">
        <f t="shared" si="20"/>
        <v>650.23960446175568</v>
      </c>
      <c r="X184">
        <f t="shared" si="17"/>
        <v>21.332023734347178</v>
      </c>
    </row>
    <row r="185" spans="1:24" x14ac:dyDescent="0.2">
      <c r="A185" t="s">
        <v>352</v>
      </c>
      <c r="B185" t="s">
        <v>353</v>
      </c>
      <c r="C185">
        <v>1985</v>
      </c>
      <c r="D185">
        <v>0</v>
      </c>
      <c r="E185">
        <v>1</v>
      </c>
      <c r="F185">
        <v>65</v>
      </c>
      <c r="G185">
        <v>157</v>
      </c>
      <c r="H185">
        <f t="shared" si="7"/>
        <v>26.370238143535232</v>
      </c>
      <c r="I185">
        <v>83</v>
      </c>
      <c r="J185">
        <v>88</v>
      </c>
      <c r="K185">
        <v>5.45</v>
      </c>
      <c r="L185">
        <v>0</v>
      </c>
      <c r="M185">
        <v>0</v>
      </c>
      <c r="N185">
        <v>0</v>
      </c>
      <c r="O185">
        <v>196</v>
      </c>
      <c r="P185">
        <v>0</v>
      </c>
      <c r="Q185">
        <v>45</v>
      </c>
      <c r="R185">
        <v>46</v>
      </c>
      <c r="S185">
        <v>303</v>
      </c>
      <c r="T185">
        <v>7.1</v>
      </c>
      <c r="U185">
        <v>6.2</v>
      </c>
      <c r="V185">
        <v>0</v>
      </c>
      <c r="W185">
        <f t="shared" si="20"/>
        <v>752.17125633134867</v>
      </c>
      <c r="X185">
        <f t="shared" si="17"/>
        <v>52.459785080723165</v>
      </c>
    </row>
    <row r="186" spans="1:24" x14ac:dyDescent="0.2">
      <c r="A186" t="s">
        <v>354</v>
      </c>
      <c r="B186" t="s">
        <v>355</v>
      </c>
      <c r="C186">
        <v>1993</v>
      </c>
      <c r="D186">
        <v>0</v>
      </c>
      <c r="E186">
        <v>1</v>
      </c>
      <c r="F186">
        <v>52</v>
      </c>
      <c r="G186">
        <v>150</v>
      </c>
      <c r="H186">
        <f t="shared" si="7"/>
        <v>23.111111111111111</v>
      </c>
      <c r="I186">
        <v>84</v>
      </c>
      <c r="J186">
        <v>81</v>
      </c>
      <c r="K186">
        <v>4.88</v>
      </c>
      <c r="L186">
        <v>0</v>
      </c>
      <c r="M186">
        <v>0</v>
      </c>
      <c r="N186">
        <v>0</v>
      </c>
      <c r="O186">
        <v>126</v>
      </c>
      <c r="P186">
        <v>0</v>
      </c>
      <c r="Q186">
        <v>46</v>
      </c>
      <c r="R186">
        <v>60</v>
      </c>
      <c r="S186">
        <v>263</v>
      </c>
      <c r="T186">
        <v>6</v>
      </c>
      <c r="U186">
        <v>5.4</v>
      </c>
      <c r="V186">
        <v>0</v>
      </c>
      <c r="W186">
        <f t="shared" si="20"/>
        <v>717.15704600937363</v>
      </c>
      <c r="X186">
        <f t="shared" si="17"/>
        <v>37.008795555206682</v>
      </c>
    </row>
    <row r="187" spans="1:24" hidden="1" x14ac:dyDescent="0.2">
      <c r="A187" t="s">
        <v>782</v>
      </c>
      <c r="B187" t="s">
        <v>783</v>
      </c>
      <c r="C187">
        <v>1981</v>
      </c>
      <c r="D187">
        <v>1</v>
      </c>
      <c r="E187">
        <v>1</v>
      </c>
      <c r="F187">
        <v>70</v>
      </c>
      <c r="G187">
        <v>168</v>
      </c>
      <c r="H187">
        <f t="shared" si="7"/>
        <v>24.801587301587304</v>
      </c>
      <c r="I187">
        <v>82</v>
      </c>
      <c r="J187">
        <v>94</v>
      </c>
      <c r="K187">
        <v>5.35</v>
      </c>
      <c r="L187">
        <v>0</v>
      </c>
      <c r="M187">
        <v>0</v>
      </c>
      <c r="N187">
        <v>0</v>
      </c>
      <c r="O187">
        <v>71</v>
      </c>
      <c r="P187">
        <v>0</v>
      </c>
      <c r="Q187">
        <v>55</v>
      </c>
      <c r="R187">
        <v>27</v>
      </c>
      <c r="S187">
        <v>257</v>
      </c>
      <c r="T187">
        <v>6.1</v>
      </c>
      <c r="U187">
        <v>5</v>
      </c>
      <c r="V187">
        <v>1</v>
      </c>
      <c r="W187">
        <f t="shared" si="20"/>
        <v>665.25185325761265</v>
      </c>
      <c r="X187">
        <f t="shared" si="17"/>
        <v>17.904449338954141</v>
      </c>
    </row>
    <row r="188" spans="1:24" x14ac:dyDescent="0.2">
      <c r="A188" t="s">
        <v>356</v>
      </c>
      <c r="B188" t="s">
        <v>357</v>
      </c>
      <c r="C188">
        <v>1981</v>
      </c>
      <c r="D188">
        <v>0</v>
      </c>
      <c r="E188">
        <v>1</v>
      </c>
      <c r="F188">
        <v>56</v>
      </c>
      <c r="G188">
        <v>153</v>
      </c>
      <c r="H188">
        <f t="shared" si="7"/>
        <v>23.92242299970097</v>
      </c>
      <c r="I188">
        <v>79</v>
      </c>
      <c r="J188">
        <v>90</v>
      </c>
      <c r="K188">
        <v>5.38</v>
      </c>
      <c r="L188">
        <v>0</v>
      </c>
      <c r="M188">
        <v>0</v>
      </c>
      <c r="N188">
        <v>0</v>
      </c>
      <c r="O188">
        <v>60</v>
      </c>
      <c r="P188">
        <v>0</v>
      </c>
      <c r="Q188">
        <v>47</v>
      </c>
      <c r="R188">
        <v>15</v>
      </c>
      <c r="S188">
        <v>278</v>
      </c>
      <c r="T188">
        <v>4.9000000000000004</v>
      </c>
      <c r="U188">
        <v>5.5</v>
      </c>
      <c r="V188">
        <v>0</v>
      </c>
      <c r="W188">
        <f t="shared" si="20"/>
        <v>624.17955710740114</v>
      </c>
      <c r="X188">
        <f t="shared" si="17"/>
        <v>8.4208504746806749</v>
      </c>
    </row>
    <row r="189" spans="1:24" x14ac:dyDescent="0.2">
      <c r="A189" t="s">
        <v>358</v>
      </c>
      <c r="B189" t="s">
        <v>359</v>
      </c>
      <c r="C189">
        <v>2000</v>
      </c>
      <c r="D189">
        <v>0</v>
      </c>
      <c r="E189">
        <v>1</v>
      </c>
      <c r="F189">
        <v>70</v>
      </c>
      <c r="G189">
        <v>150</v>
      </c>
      <c r="H189">
        <f t="shared" si="7"/>
        <v>31.111111111111111</v>
      </c>
      <c r="I189">
        <v>96</v>
      </c>
      <c r="J189">
        <v>85</v>
      </c>
      <c r="K189">
        <v>4.72</v>
      </c>
      <c r="L189">
        <v>0</v>
      </c>
      <c r="M189">
        <v>0</v>
      </c>
      <c r="N189">
        <v>0</v>
      </c>
      <c r="O189">
        <v>101</v>
      </c>
      <c r="P189">
        <v>0</v>
      </c>
      <c r="Q189">
        <v>52</v>
      </c>
      <c r="R189">
        <v>31</v>
      </c>
      <c r="S189">
        <v>282</v>
      </c>
      <c r="T189">
        <v>5.2</v>
      </c>
      <c r="U189">
        <v>5.7</v>
      </c>
      <c r="V189">
        <v>0</v>
      </c>
      <c r="W189">
        <f>LN(O189*J189/2)*I189</f>
        <v>803.00396090607649</v>
      </c>
      <c r="X189">
        <f t="shared" si="17"/>
        <v>62.977626511693309</v>
      </c>
    </row>
    <row r="190" spans="1:24" x14ac:dyDescent="0.2">
      <c r="A190" t="s">
        <v>360</v>
      </c>
      <c r="B190" t="s">
        <v>361</v>
      </c>
      <c r="C190">
        <v>2001</v>
      </c>
      <c r="D190">
        <v>1</v>
      </c>
      <c r="E190">
        <v>1</v>
      </c>
      <c r="F190">
        <v>77</v>
      </c>
      <c r="G190">
        <v>174</v>
      </c>
      <c r="H190">
        <f t="shared" si="7"/>
        <v>25.432685955872639</v>
      </c>
      <c r="I190">
        <v>91</v>
      </c>
      <c r="J190">
        <v>88</v>
      </c>
      <c r="K190">
        <v>5.59</v>
      </c>
      <c r="L190">
        <v>0</v>
      </c>
      <c r="M190">
        <v>0</v>
      </c>
      <c r="N190">
        <v>0</v>
      </c>
      <c r="O190">
        <v>204</v>
      </c>
      <c r="P190">
        <v>0</v>
      </c>
      <c r="Q190">
        <v>37</v>
      </c>
      <c r="R190">
        <v>52</v>
      </c>
      <c r="S190">
        <v>223</v>
      </c>
      <c r="T190">
        <v>5.6</v>
      </c>
      <c r="U190">
        <v>4.7</v>
      </c>
      <c r="V190">
        <v>0</v>
      </c>
      <c r="W190">
        <f>LN(O190*J190/2)*I190</f>
        <v>828.3101761263855</v>
      </c>
      <c r="X190">
        <f t="shared" si="17"/>
        <v>62.675126121506388</v>
      </c>
    </row>
    <row r="191" spans="1:24" x14ac:dyDescent="0.2">
      <c r="A191" t="s">
        <v>362</v>
      </c>
      <c r="B191" t="s">
        <v>363</v>
      </c>
      <c r="C191">
        <v>1981</v>
      </c>
      <c r="D191">
        <v>1</v>
      </c>
      <c r="E191">
        <v>1</v>
      </c>
      <c r="F191">
        <v>69</v>
      </c>
      <c r="G191">
        <v>170</v>
      </c>
      <c r="H191">
        <f t="shared" si="7"/>
        <v>23.87543252595156</v>
      </c>
      <c r="I191">
        <v>93</v>
      </c>
      <c r="J191">
        <v>101</v>
      </c>
      <c r="K191">
        <v>6.3</v>
      </c>
      <c r="L191">
        <v>0</v>
      </c>
      <c r="M191">
        <v>0</v>
      </c>
      <c r="N191">
        <v>0</v>
      </c>
      <c r="O191">
        <v>122</v>
      </c>
      <c r="P191">
        <v>0</v>
      </c>
      <c r="Q191">
        <v>44</v>
      </c>
      <c r="R191">
        <v>37</v>
      </c>
      <c r="S191">
        <v>337</v>
      </c>
      <c r="T191">
        <v>5.9</v>
      </c>
      <c r="U191">
        <v>7.5</v>
      </c>
      <c r="V191">
        <v>0</v>
      </c>
      <c r="W191">
        <f t="shared" ref="W191:W198" si="21">LN(O191*J191/2)*I191</f>
        <v>811.5174774343551</v>
      </c>
      <c r="X191">
        <f t="shared" si="17"/>
        <v>41.910616139703215</v>
      </c>
    </row>
    <row r="192" spans="1:24" x14ac:dyDescent="0.2">
      <c r="A192" t="s">
        <v>364</v>
      </c>
      <c r="B192" t="s">
        <v>365</v>
      </c>
      <c r="C192">
        <v>1990</v>
      </c>
      <c r="D192">
        <v>1</v>
      </c>
      <c r="E192">
        <v>1</v>
      </c>
      <c r="F192">
        <v>70</v>
      </c>
      <c r="G192">
        <v>176</v>
      </c>
      <c r="H192">
        <f t="shared" si="7"/>
        <v>22.598140495867771</v>
      </c>
      <c r="I192">
        <v>89</v>
      </c>
      <c r="J192">
        <v>99</v>
      </c>
      <c r="K192">
        <v>5.8</v>
      </c>
      <c r="L192">
        <v>0</v>
      </c>
      <c r="M192">
        <v>0</v>
      </c>
      <c r="N192">
        <v>0</v>
      </c>
      <c r="O192">
        <v>122</v>
      </c>
      <c r="P192">
        <v>0</v>
      </c>
      <c r="Q192">
        <v>44</v>
      </c>
      <c r="R192">
        <v>119</v>
      </c>
      <c r="S192">
        <v>308</v>
      </c>
      <c r="T192">
        <v>8.5</v>
      </c>
      <c r="U192">
        <v>6.2</v>
      </c>
      <c r="V192">
        <v>0</v>
      </c>
      <c r="W192">
        <f t="shared" si="21"/>
        <v>774.83344057340321</v>
      </c>
      <c r="X192">
        <f t="shared" si="17"/>
        <v>53.065755678619468</v>
      </c>
    </row>
    <row r="193" spans="1:24" hidden="1" x14ac:dyDescent="0.2">
      <c r="A193" t="s">
        <v>784</v>
      </c>
      <c r="B193" t="s">
        <v>785</v>
      </c>
      <c r="C193">
        <v>1967</v>
      </c>
      <c r="D193">
        <v>1</v>
      </c>
      <c r="E193">
        <v>1</v>
      </c>
      <c r="F193">
        <v>67</v>
      </c>
      <c r="G193">
        <v>169</v>
      </c>
      <c r="H193">
        <f t="shared" si="7"/>
        <v>23.458562375266975</v>
      </c>
      <c r="I193">
        <v>92</v>
      </c>
      <c r="J193">
        <v>88</v>
      </c>
      <c r="K193">
        <v>5.53</v>
      </c>
      <c r="L193">
        <v>0</v>
      </c>
      <c r="M193">
        <v>0</v>
      </c>
      <c r="N193">
        <v>0</v>
      </c>
      <c r="O193">
        <v>188</v>
      </c>
      <c r="P193">
        <v>0</v>
      </c>
      <c r="Q193">
        <v>53</v>
      </c>
      <c r="R193">
        <v>199</v>
      </c>
      <c r="S193">
        <v>255</v>
      </c>
      <c r="T193">
        <v>6.6</v>
      </c>
      <c r="U193">
        <v>5</v>
      </c>
      <c r="V193">
        <v>1</v>
      </c>
      <c r="W193">
        <f t="shared" si="21"/>
        <v>829.89810690083527</v>
      </c>
      <c r="X193">
        <f t="shared" si="17"/>
        <v>76.54261412060012</v>
      </c>
    </row>
    <row r="194" spans="1:24" x14ac:dyDescent="0.2">
      <c r="A194" t="s">
        <v>366</v>
      </c>
      <c r="B194" t="s">
        <v>367</v>
      </c>
      <c r="C194">
        <v>1997</v>
      </c>
      <c r="D194">
        <v>1</v>
      </c>
      <c r="E194">
        <v>1</v>
      </c>
      <c r="F194">
        <v>85</v>
      </c>
      <c r="G194">
        <v>179</v>
      </c>
      <c r="H194">
        <f t="shared" si="7"/>
        <v>26.528510346119035</v>
      </c>
      <c r="I194">
        <v>98</v>
      </c>
      <c r="J194">
        <v>96</v>
      </c>
      <c r="K194">
        <v>5.71</v>
      </c>
      <c r="L194">
        <v>0</v>
      </c>
      <c r="M194">
        <v>0</v>
      </c>
      <c r="N194">
        <v>0</v>
      </c>
      <c r="O194">
        <v>315</v>
      </c>
      <c r="P194">
        <v>0</v>
      </c>
      <c r="Q194">
        <v>40</v>
      </c>
      <c r="R194">
        <v>79</v>
      </c>
      <c r="S194">
        <v>324</v>
      </c>
      <c r="T194">
        <v>6.9</v>
      </c>
      <c r="U194">
        <v>6.9</v>
      </c>
      <c r="V194">
        <v>0</v>
      </c>
      <c r="W194">
        <f t="shared" si="21"/>
        <v>943.12981767388533</v>
      </c>
      <c r="X194">
        <f t="shared" si="17"/>
        <v>85.269896486778904</v>
      </c>
    </row>
    <row r="195" spans="1:24" x14ac:dyDescent="0.2">
      <c r="A195" t="s">
        <v>368</v>
      </c>
      <c r="B195" t="s">
        <v>369</v>
      </c>
      <c r="C195">
        <v>1983</v>
      </c>
      <c r="D195">
        <v>0</v>
      </c>
      <c r="E195">
        <v>1</v>
      </c>
      <c r="F195">
        <v>72</v>
      </c>
      <c r="G195">
        <v>163</v>
      </c>
      <c r="H195">
        <f t="shared" si="7"/>
        <v>27.099251006812452</v>
      </c>
      <c r="I195">
        <v>96</v>
      </c>
      <c r="J195">
        <v>88</v>
      </c>
      <c r="K195">
        <v>5.41</v>
      </c>
      <c r="L195">
        <v>0</v>
      </c>
      <c r="M195">
        <v>0</v>
      </c>
      <c r="N195">
        <v>0</v>
      </c>
      <c r="O195">
        <v>296</v>
      </c>
      <c r="P195">
        <v>0</v>
      </c>
      <c r="Q195">
        <v>42</v>
      </c>
      <c r="R195">
        <v>34</v>
      </c>
      <c r="S195">
        <v>341</v>
      </c>
      <c r="T195">
        <v>6</v>
      </c>
      <c r="U195">
        <v>7.6</v>
      </c>
      <c r="V195">
        <v>0</v>
      </c>
      <c r="W195">
        <f t="shared" si="21"/>
        <v>909.55671247126293</v>
      </c>
      <c r="X195">
        <f t="shared" si="17"/>
        <v>74.357536146087895</v>
      </c>
    </row>
    <row r="196" spans="1:24" hidden="1" x14ac:dyDescent="0.2">
      <c r="A196" t="s">
        <v>786</v>
      </c>
      <c r="B196" t="s">
        <v>787</v>
      </c>
      <c r="C196">
        <v>1980</v>
      </c>
      <c r="D196">
        <v>1</v>
      </c>
      <c r="E196">
        <v>1</v>
      </c>
      <c r="F196">
        <v>59</v>
      </c>
      <c r="G196">
        <v>162</v>
      </c>
      <c r="H196">
        <f t="shared" si="7"/>
        <v>22.481329065691202</v>
      </c>
      <c r="I196">
        <v>89</v>
      </c>
      <c r="J196">
        <v>90</v>
      </c>
      <c r="K196">
        <v>5.5</v>
      </c>
      <c r="L196">
        <v>0</v>
      </c>
      <c r="M196">
        <v>0</v>
      </c>
      <c r="N196">
        <v>0</v>
      </c>
      <c r="O196">
        <v>112</v>
      </c>
      <c r="P196">
        <v>0</v>
      </c>
      <c r="Q196">
        <v>42</v>
      </c>
      <c r="R196">
        <v>27</v>
      </c>
      <c r="S196">
        <v>311</v>
      </c>
      <c r="T196">
        <v>5.5</v>
      </c>
      <c r="U196">
        <v>6.4</v>
      </c>
      <c r="V196">
        <v>1</v>
      </c>
      <c r="W196">
        <f t="shared" si="21"/>
        <v>758.73936113482193</v>
      </c>
      <c r="X196">
        <f t="shared" si="17"/>
        <v>26.115868340130092</v>
      </c>
    </row>
    <row r="197" spans="1:24" x14ac:dyDescent="0.2">
      <c r="A197" t="s">
        <v>370</v>
      </c>
      <c r="B197" t="s">
        <v>371</v>
      </c>
      <c r="C197">
        <v>1991</v>
      </c>
      <c r="D197">
        <v>1</v>
      </c>
      <c r="E197">
        <v>1</v>
      </c>
      <c r="F197">
        <v>79</v>
      </c>
      <c r="G197">
        <v>162</v>
      </c>
      <c r="H197">
        <f t="shared" si="7"/>
        <v>30.102118579484827</v>
      </c>
      <c r="I197">
        <v>94</v>
      </c>
      <c r="J197">
        <v>74</v>
      </c>
      <c r="K197">
        <v>5.4</v>
      </c>
      <c r="L197">
        <v>0</v>
      </c>
      <c r="M197">
        <v>0</v>
      </c>
      <c r="N197">
        <v>0</v>
      </c>
      <c r="O197">
        <v>273</v>
      </c>
      <c r="P197">
        <v>0</v>
      </c>
      <c r="Q197">
        <v>42</v>
      </c>
      <c r="R197">
        <v>58</v>
      </c>
      <c r="S197">
        <v>315</v>
      </c>
      <c r="T197">
        <v>5.9</v>
      </c>
      <c r="U197">
        <v>6.5</v>
      </c>
      <c r="V197">
        <v>0</v>
      </c>
      <c r="W197">
        <f t="shared" si="21"/>
        <v>866.71663253594329</v>
      </c>
      <c r="X197">
        <f t="shared" si="17"/>
        <v>84.322460540030036</v>
      </c>
    </row>
    <row r="198" spans="1:24" x14ac:dyDescent="0.2">
      <c r="A198" t="s">
        <v>372</v>
      </c>
      <c r="B198" t="s">
        <v>373</v>
      </c>
      <c r="C198">
        <v>1988</v>
      </c>
      <c r="D198">
        <v>1</v>
      </c>
      <c r="E198">
        <v>1</v>
      </c>
      <c r="F198">
        <v>69</v>
      </c>
      <c r="G198">
        <v>163</v>
      </c>
      <c r="H198">
        <f t="shared" si="7"/>
        <v>25.970115548195267</v>
      </c>
      <c r="I198">
        <v>94</v>
      </c>
      <c r="J198">
        <v>88</v>
      </c>
      <c r="K198">
        <v>5.5</v>
      </c>
      <c r="L198">
        <v>0</v>
      </c>
      <c r="M198">
        <v>0</v>
      </c>
      <c r="N198">
        <v>0</v>
      </c>
      <c r="O198">
        <v>260</v>
      </c>
      <c r="P198">
        <v>0</v>
      </c>
      <c r="Q198">
        <v>46</v>
      </c>
      <c r="R198">
        <v>99</v>
      </c>
      <c r="S198">
        <v>235</v>
      </c>
      <c r="T198">
        <v>5.5</v>
      </c>
      <c r="U198">
        <v>4.7</v>
      </c>
      <c r="V198">
        <v>0</v>
      </c>
      <c r="W198">
        <f t="shared" si="21"/>
        <v>878.41789890377606</v>
      </c>
      <c r="X198">
        <f t="shared" si="17"/>
        <v>80.930054696635622</v>
      </c>
    </row>
    <row r="199" spans="1:24" x14ac:dyDescent="0.2">
      <c r="A199" t="s">
        <v>374</v>
      </c>
      <c r="B199" t="s">
        <v>375</v>
      </c>
      <c r="C199">
        <v>1965</v>
      </c>
      <c r="D199">
        <v>1</v>
      </c>
      <c r="E199">
        <v>1</v>
      </c>
      <c r="F199">
        <v>69</v>
      </c>
      <c r="G199">
        <v>166</v>
      </c>
      <c r="H199">
        <f t="shared" si="7"/>
        <v>25.039918710988534</v>
      </c>
      <c r="I199">
        <v>94</v>
      </c>
      <c r="J199">
        <v>96</v>
      </c>
      <c r="K199">
        <v>5.57</v>
      </c>
      <c r="L199">
        <v>0</v>
      </c>
      <c r="M199">
        <v>0</v>
      </c>
      <c r="N199">
        <v>0</v>
      </c>
      <c r="O199">
        <v>231</v>
      </c>
      <c r="P199">
        <v>0</v>
      </c>
      <c r="Q199">
        <v>41</v>
      </c>
      <c r="R199">
        <v>30</v>
      </c>
      <c r="S199">
        <v>257</v>
      </c>
      <c r="T199">
        <v>5.2</v>
      </c>
      <c r="U199">
        <v>5.2</v>
      </c>
      <c r="V199">
        <v>0</v>
      </c>
      <c r="W199">
        <f>LN(O199*J199/2)*I199</f>
        <v>875.48015981439028</v>
      </c>
      <c r="X199">
        <f t="shared" si="17"/>
        <v>58.570367258048918</v>
      </c>
    </row>
    <row r="200" spans="1:24" x14ac:dyDescent="0.2">
      <c r="A200" t="s">
        <v>376</v>
      </c>
      <c r="B200" t="s">
        <v>377</v>
      </c>
      <c r="C200">
        <v>1981</v>
      </c>
      <c r="D200">
        <v>1</v>
      </c>
      <c r="E200">
        <v>1</v>
      </c>
      <c r="F200">
        <v>59</v>
      </c>
      <c r="G200">
        <v>161</v>
      </c>
      <c r="H200">
        <f t="shared" si="7"/>
        <v>22.761467535974688</v>
      </c>
      <c r="I200">
        <v>81</v>
      </c>
      <c r="J200">
        <v>88</v>
      </c>
      <c r="K200">
        <v>4.97</v>
      </c>
      <c r="L200">
        <v>0</v>
      </c>
      <c r="M200">
        <v>0</v>
      </c>
      <c r="N200">
        <v>0</v>
      </c>
      <c r="O200">
        <v>163</v>
      </c>
      <c r="P200">
        <v>0</v>
      </c>
      <c r="Q200">
        <v>46</v>
      </c>
      <c r="R200">
        <v>25</v>
      </c>
      <c r="S200">
        <v>255</v>
      </c>
      <c r="T200">
        <v>6.1</v>
      </c>
      <c r="U200">
        <v>5</v>
      </c>
      <c r="V200">
        <v>0</v>
      </c>
      <c r="W200">
        <f>LN(O200*J200/2)*I200</f>
        <v>719.11312661272689</v>
      </c>
      <c r="X200">
        <f t="shared" si="17"/>
        <v>24.551835711982005</v>
      </c>
    </row>
    <row r="201" spans="1:24" x14ac:dyDescent="0.2">
      <c r="A201" t="s">
        <v>378</v>
      </c>
      <c r="B201" t="s">
        <v>379</v>
      </c>
      <c r="C201">
        <v>2003</v>
      </c>
      <c r="D201">
        <v>1</v>
      </c>
      <c r="E201">
        <v>1</v>
      </c>
      <c r="F201">
        <v>81</v>
      </c>
      <c r="G201">
        <v>165</v>
      </c>
      <c r="H201">
        <f t="shared" si="7"/>
        <v>29.752066115702483</v>
      </c>
      <c r="I201">
        <v>96</v>
      </c>
      <c r="J201">
        <v>85</v>
      </c>
      <c r="K201">
        <v>5.56</v>
      </c>
      <c r="L201">
        <v>0</v>
      </c>
      <c r="M201">
        <v>0</v>
      </c>
      <c r="N201">
        <v>0</v>
      </c>
      <c r="O201">
        <v>156</v>
      </c>
      <c r="P201">
        <v>0</v>
      </c>
      <c r="Q201">
        <v>51</v>
      </c>
      <c r="R201">
        <v>28</v>
      </c>
      <c r="S201">
        <v>286</v>
      </c>
      <c r="T201">
        <v>5.7</v>
      </c>
      <c r="U201">
        <v>5.7</v>
      </c>
      <c r="V201">
        <v>0</v>
      </c>
      <c r="W201">
        <f t="shared" ref="W201:W213" si="22">LN(O201*J201/2)*I201</f>
        <v>844.73856798527117</v>
      </c>
      <c r="X201">
        <f t="shared" si="17"/>
        <v>66.453564301654893</v>
      </c>
    </row>
    <row r="202" spans="1:24" x14ac:dyDescent="0.2">
      <c r="A202" t="s">
        <v>380</v>
      </c>
      <c r="B202" t="s">
        <v>381</v>
      </c>
      <c r="C202">
        <v>2001</v>
      </c>
      <c r="D202">
        <v>1</v>
      </c>
      <c r="E202">
        <v>1</v>
      </c>
      <c r="F202">
        <v>81</v>
      </c>
      <c r="G202">
        <v>181</v>
      </c>
      <c r="H202">
        <f t="shared" si="7"/>
        <v>24.724520008546747</v>
      </c>
      <c r="I202">
        <v>92</v>
      </c>
      <c r="J202">
        <v>88</v>
      </c>
      <c r="K202">
        <v>4.7</v>
      </c>
      <c r="L202">
        <v>0</v>
      </c>
      <c r="M202">
        <v>0</v>
      </c>
      <c r="N202">
        <v>0</v>
      </c>
      <c r="O202">
        <v>177</v>
      </c>
      <c r="P202">
        <v>0</v>
      </c>
      <c r="Q202">
        <v>34</v>
      </c>
      <c r="R202">
        <v>24</v>
      </c>
      <c r="S202">
        <v>319</v>
      </c>
      <c r="T202">
        <v>4.5999999999999996</v>
      </c>
      <c r="U202">
        <v>6.7</v>
      </c>
      <c r="V202">
        <v>0</v>
      </c>
      <c r="W202">
        <f t="shared" si="22"/>
        <v>824.35122171727244</v>
      </c>
      <c r="X202">
        <f t="shared" si="17"/>
        <v>44.58189838561232</v>
      </c>
    </row>
    <row r="203" spans="1:24" x14ac:dyDescent="0.2">
      <c r="A203" t="s">
        <v>382</v>
      </c>
      <c r="B203" t="s">
        <v>383</v>
      </c>
      <c r="C203">
        <v>1967</v>
      </c>
      <c r="D203">
        <v>1</v>
      </c>
      <c r="E203">
        <v>1</v>
      </c>
      <c r="F203">
        <v>65</v>
      </c>
      <c r="G203">
        <v>167</v>
      </c>
      <c r="H203">
        <f t="shared" si="7"/>
        <v>23.306680053067517</v>
      </c>
      <c r="I203">
        <v>89</v>
      </c>
      <c r="J203">
        <v>92</v>
      </c>
      <c r="K203">
        <v>5.35</v>
      </c>
      <c r="L203">
        <v>0</v>
      </c>
      <c r="M203">
        <v>0</v>
      </c>
      <c r="N203">
        <v>0</v>
      </c>
      <c r="O203">
        <v>123</v>
      </c>
      <c r="P203">
        <v>0</v>
      </c>
      <c r="Q203">
        <v>72</v>
      </c>
      <c r="R203">
        <v>179</v>
      </c>
      <c r="S203">
        <v>241</v>
      </c>
      <c r="T203">
        <v>9.5</v>
      </c>
      <c r="U203">
        <v>4.5999999999999996</v>
      </c>
      <c r="V203">
        <v>0</v>
      </c>
      <c r="W203">
        <f t="shared" si="22"/>
        <v>769.03349191567463</v>
      </c>
      <c r="X203">
        <f t="shared" si="17"/>
        <v>62.76581358433522</v>
      </c>
    </row>
    <row r="204" spans="1:24" x14ac:dyDescent="0.2">
      <c r="A204" t="s">
        <v>384</v>
      </c>
      <c r="B204" t="s">
        <v>385</v>
      </c>
      <c r="C204">
        <v>1988</v>
      </c>
      <c r="D204">
        <v>1</v>
      </c>
      <c r="E204">
        <v>1</v>
      </c>
      <c r="F204">
        <v>57</v>
      </c>
      <c r="G204">
        <v>160</v>
      </c>
      <c r="H204">
        <f t="shared" si="7"/>
        <v>22.265624999999996</v>
      </c>
      <c r="I204">
        <v>83</v>
      </c>
      <c r="J204">
        <v>99</v>
      </c>
      <c r="K204">
        <v>5.49</v>
      </c>
      <c r="L204">
        <v>0</v>
      </c>
      <c r="M204">
        <v>0</v>
      </c>
      <c r="N204">
        <v>0</v>
      </c>
      <c r="O204">
        <v>340</v>
      </c>
      <c r="P204">
        <v>0</v>
      </c>
      <c r="Q204">
        <v>49</v>
      </c>
      <c r="R204">
        <v>31</v>
      </c>
      <c r="S204">
        <v>273</v>
      </c>
      <c r="T204">
        <v>4.2</v>
      </c>
      <c r="U204">
        <v>5.5</v>
      </c>
      <c r="V204">
        <v>0</v>
      </c>
      <c r="W204">
        <f t="shared" si="22"/>
        <v>807.66621783634264</v>
      </c>
      <c r="X204">
        <f t="shared" si="17"/>
        <v>44.263122048714621</v>
      </c>
    </row>
    <row r="205" spans="1:24" hidden="1" x14ac:dyDescent="0.2">
      <c r="A205" t="s">
        <v>788</v>
      </c>
      <c r="B205" t="s">
        <v>789</v>
      </c>
      <c r="C205">
        <v>1980</v>
      </c>
      <c r="D205">
        <v>1</v>
      </c>
      <c r="E205">
        <v>1</v>
      </c>
      <c r="F205">
        <v>68</v>
      </c>
      <c r="G205">
        <v>163</v>
      </c>
      <c r="H205">
        <f t="shared" si="7"/>
        <v>25.59373706198954</v>
      </c>
      <c r="I205">
        <v>89</v>
      </c>
      <c r="J205">
        <v>96</v>
      </c>
      <c r="K205">
        <v>5.63</v>
      </c>
      <c r="L205">
        <v>0</v>
      </c>
      <c r="M205">
        <v>0</v>
      </c>
      <c r="N205">
        <v>0</v>
      </c>
      <c r="O205">
        <v>273</v>
      </c>
      <c r="P205">
        <v>0</v>
      </c>
      <c r="Q205">
        <v>54</v>
      </c>
      <c r="R205">
        <v>196</v>
      </c>
      <c r="S205">
        <v>213</v>
      </c>
      <c r="T205">
        <v>6.5</v>
      </c>
      <c r="U205">
        <v>4.4000000000000004</v>
      </c>
      <c r="V205">
        <v>1</v>
      </c>
      <c r="W205">
        <f t="shared" si="22"/>
        <v>843.7798797422638</v>
      </c>
      <c r="X205">
        <f t="shared" si="17"/>
        <v>84.091372424751469</v>
      </c>
    </row>
    <row r="206" spans="1:24" hidden="1" x14ac:dyDescent="0.2">
      <c r="A206" t="s">
        <v>790</v>
      </c>
      <c r="B206" t="s">
        <v>791</v>
      </c>
      <c r="C206">
        <v>1984</v>
      </c>
      <c r="D206">
        <v>1</v>
      </c>
      <c r="E206">
        <v>1</v>
      </c>
      <c r="F206">
        <v>68</v>
      </c>
      <c r="G206">
        <v>168</v>
      </c>
      <c r="H206">
        <f t="shared" si="7"/>
        <v>24.092970521541954</v>
      </c>
      <c r="I206">
        <v>82</v>
      </c>
      <c r="J206">
        <v>86</v>
      </c>
      <c r="K206">
        <v>5.46</v>
      </c>
      <c r="L206">
        <v>0</v>
      </c>
      <c r="M206">
        <v>0</v>
      </c>
      <c r="N206">
        <v>0</v>
      </c>
      <c r="O206">
        <v>166</v>
      </c>
      <c r="P206">
        <v>0</v>
      </c>
      <c r="Q206">
        <v>53</v>
      </c>
      <c r="R206">
        <v>151</v>
      </c>
      <c r="S206">
        <v>292</v>
      </c>
      <c r="T206">
        <v>5.9</v>
      </c>
      <c r="U206">
        <v>5.8</v>
      </c>
      <c r="V206">
        <v>1</v>
      </c>
      <c r="W206">
        <f t="shared" si="22"/>
        <v>727.60140813210865</v>
      </c>
      <c r="X206">
        <f t="shared" si="17"/>
        <v>60.445297319048713</v>
      </c>
    </row>
    <row r="207" spans="1:24" hidden="1" x14ac:dyDescent="0.2">
      <c r="A207" t="s">
        <v>792</v>
      </c>
      <c r="B207" t="s">
        <v>793</v>
      </c>
      <c r="C207">
        <v>1990</v>
      </c>
      <c r="D207">
        <v>1</v>
      </c>
      <c r="E207">
        <v>1</v>
      </c>
      <c r="F207">
        <v>69</v>
      </c>
      <c r="G207">
        <v>168</v>
      </c>
      <c r="H207">
        <f t="shared" si="7"/>
        <v>24.447278911564631</v>
      </c>
      <c r="I207">
        <v>87</v>
      </c>
      <c r="J207">
        <v>94</v>
      </c>
      <c r="K207">
        <v>5.15</v>
      </c>
      <c r="L207">
        <v>0</v>
      </c>
      <c r="M207">
        <v>0</v>
      </c>
      <c r="N207">
        <v>0</v>
      </c>
      <c r="O207">
        <v>227</v>
      </c>
      <c r="P207">
        <v>0</v>
      </c>
      <c r="Q207">
        <v>43</v>
      </c>
      <c r="R207">
        <v>67</v>
      </c>
      <c r="S207">
        <v>226</v>
      </c>
      <c r="T207">
        <v>5.6</v>
      </c>
      <c r="U207">
        <v>4.8</v>
      </c>
      <c r="V207">
        <v>1</v>
      </c>
      <c r="W207">
        <f t="shared" si="22"/>
        <v>806.93349286965713</v>
      </c>
      <c r="X207">
        <f t="shared" si="17"/>
        <v>61.138041374700464</v>
      </c>
    </row>
    <row r="208" spans="1:24" hidden="1" x14ac:dyDescent="0.2">
      <c r="A208" t="s">
        <v>386</v>
      </c>
      <c r="B208" t="s">
        <v>387</v>
      </c>
      <c r="C208">
        <v>1974</v>
      </c>
      <c r="D208">
        <v>1</v>
      </c>
      <c r="E208">
        <v>1</v>
      </c>
      <c r="F208">
        <v>71</v>
      </c>
      <c r="G208">
        <v>165</v>
      </c>
      <c r="H208">
        <f t="shared" si="7"/>
        <v>26.078971533516992</v>
      </c>
      <c r="I208">
        <v>94</v>
      </c>
      <c r="J208">
        <v>132</v>
      </c>
      <c r="K208">
        <v>5.63</v>
      </c>
      <c r="L208">
        <v>0</v>
      </c>
      <c r="M208">
        <v>1</v>
      </c>
      <c r="N208">
        <v>1</v>
      </c>
      <c r="O208">
        <v>112</v>
      </c>
      <c r="P208">
        <v>0</v>
      </c>
      <c r="Q208">
        <v>40</v>
      </c>
      <c r="R208">
        <v>35</v>
      </c>
      <c r="S208">
        <v>317</v>
      </c>
      <c r="T208">
        <v>5.6</v>
      </c>
      <c r="U208">
        <v>6.5</v>
      </c>
      <c r="V208">
        <v>1</v>
      </c>
      <c r="W208">
        <f t="shared" si="22"/>
        <v>837.36643965222288</v>
      </c>
      <c r="X208">
        <f t="shared" si="17"/>
        <v>47.787604955428542</v>
      </c>
    </row>
    <row r="209" spans="1:24" x14ac:dyDescent="0.2">
      <c r="A209" t="s">
        <v>388</v>
      </c>
      <c r="B209" t="s">
        <v>389</v>
      </c>
      <c r="C209">
        <v>1978</v>
      </c>
      <c r="D209">
        <v>1</v>
      </c>
      <c r="E209">
        <v>1</v>
      </c>
      <c r="F209">
        <v>70</v>
      </c>
      <c r="G209">
        <v>170</v>
      </c>
      <c r="H209">
        <f t="shared" si="7"/>
        <v>24.221453287197235</v>
      </c>
      <c r="I209">
        <v>91</v>
      </c>
      <c r="J209">
        <v>83</v>
      </c>
      <c r="K209">
        <v>5.7</v>
      </c>
      <c r="L209">
        <v>0</v>
      </c>
      <c r="M209">
        <v>0</v>
      </c>
      <c r="N209">
        <v>0</v>
      </c>
      <c r="O209">
        <v>111</v>
      </c>
      <c r="P209">
        <v>0</v>
      </c>
      <c r="Q209">
        <v>42</v>
      </c>
      <c r="R209">
        <v>32</v>
      </c>
      <c r="S209">
        <v>239</v>
      </c>
      <c r="T209">
        <v>6.3</v>
      </c>
      <c r="U209">
        <v>4.8</v>
      </c>
      <c r="V209">
        <v>0</v>
      </c>
      <c r="W209">
        <f t="shared" si="22"/>
        <v>767.6053501979577</v>
      </c>
      <c r="X209">
        <f t="shared" si="17"/>
        <v>35.924620355572479</v>
      </c>
    </row>
    <row r="210" spans="1:24" x14ac:dyDescent="0.2">
      <c r="A210" t="s">
        <v>390</v>
      </c>
      <c r="B210" t="s">
        <v>391</v>
      </c>
      <c r="C210">
        <v>1988</v>
      </c>
      <c r="D210">
        <v>1</v>
      </c>
      <c r="E210">
        <v>1</v>
      </c>
      <c r="F210">
        <v>80</v>
      </c>
      <c r="G210">
        <v>172</v>
      </c>
      <c r="H210">
        <f t="shared" si="7"/>
        <v>27.041644131963228</v>
      </c>
      <c r="I210">
        <v>95</v>
      </c>
      <c r="J210">
        <v>96</v>
      </c>
      <c r="K210">
        <v>5.62</v>
      </c>
      <c r="L210">
        <v>0</v>
      </c>
      <c r="M210">
        <v>0</v>
      </c>
      <c r="N210">
        <v>0</v>
      </c>
      <c r="O210">
        <v>188</v>
      </c>
      <c r="P210">
        <v>1</v>
      </c>
      <c r="Q210">
        <v>39</v>
      </c>
      <c r="R210">
        <v>105</v>
      </c>
      <c r="S210">
        <v>267</v>
      </c>
      <c r="T210">
        <v>7.1</v>
      </c>
      <c r="U210">
        <v>5.3</v>
      </c>
      <c r="V210">
        <v>0</v>
      </c>
      <c r="W210">
        <f t="shared" si="22"/>
        <v>865.22608250509484</v>
      </c>
      <c r="X210">
        <f t="shared" si="17"/>
        <v>79.909717991739427</v>
      </c>
    </row>
    <row r="211" spans="1:24" x14ac:dyDescent="0.2">
      <c r="A211" t="s">
        <v>392</v>
      </c>
      <c r="B211" t="s">
        <v>393</v>
      </c>
      <c r="C211">
        <v>1982</v>
      </c>
      <c r="D211">
        <v>1</v>
      </c>
      <c r="E211">
        <v>1</v>
      </c>
      <c r="F211">
        <v>65</v>
      </c>
      <c r="G211">
        <v>168</v>
      </c>
      <c r="H211">
        <f t="shared" si="7"/>
        <v>23.030045351473927</v>
      </c>
      <c r="I211">
        <v>84</v>
      </c>
      <c r="J211">
        <v>103</v>
      </c>
      <c r="K211">
        <v>5.16</v>
      </c>
      <c r="L211">
        <v>0</v>
      </c>
      <c r="M211">
        <v>0</v>
      </c>
      <c r="N211">
        <v>0</v>
      </c>
      <c r="O211">
        <v>90</v>
      </c>
      <c r="P211">
        <v>0</v>
      </c>
      <c r="Q211">
        <v>57</v>
      </c>
      <c r="R211">
        <v>18</v>
      </c>
      <c r="S211">
        <v>224</v>
      </c>
      <c r="T211">
        <v>3.9</v>
      </c>
      <c r="U211">
        <v>4.5</v>
      </c>
      <c r="V211">
        <v>0</v>
      </c>
      <c r="W211">
        <f t="shared" si="22"/>
        <v>709.0768841519963</v>
      </c>
      <c r="X211">
        <f t="shared" ref="X211:X274" si="23">100*EXP(0.953*LN(O211)+0.139*H211+0.718*LN(R211)+0.053*I211-15.745)/(1+EXP(0.953*LN(O211)+0.139*H211+0.718*LN(R211)+0.053*I211-15.745))</f>
        <v>15.081563877702781</v>
      </c>
    </row>
    <row r="212" spans="1:24" x14ac:dyDescent="0.2">
      <c r="A212" t="s">
        <v>394</v>
      </c>
      <c r="B212" t="s">
        <v>395</v>
      </c>
      <c r="C212">
        <v>1979</v>
      </c>
      <c r="D212">
        <v>1</v>
      </c>
      <c r="E212">
        <v>1</v>
      </c>
      <c r="F212">
        <v>67</v>
      </c>
      <c r="G212">
        <v>169</v>
      </c>
      <c r="H212">
        <f t="shared" si="7"/>
        <v>23.458562375266975</v>
      </c>
      <c r="I212">
        <v>87</v>
      </c>
      <c r="J212">
        <v>94</v>
      </c>
      <c r="K212">
        <v>5.24</v>
      </c>
      <c r="L212">
        <v>0</v>
      </c>
      <c r="M212">
        <v>0</v>
      </c>
      <c r="N212">
        <v>0</v>
      </c>
      <c r="O212">
        <v>142</v>
      </c>
      <c r="P212">
        <v>0</v>
      </c>
      <c r="Q212">
        <v>53</v>
      </c>
      <c r="R212">
        <v>59</v>
      </c>
      <c r="S212">
        <v>250</v>
      </c>
      <c r="T212">
        <v>4.8</v>
      </c>
      <c r="U212">
        <v>4.9000000000000004</v>
      </c>
      <c r="V212">
        <v>0</v>
      </c>
      <c r="W212">
        <f t="shared" si="22"/>
        <v>766.11979536008482</v>
      </c>
      <c r="X212">
        <f t="shared" si="23"/>
        <v>44.455772932858729</v>
      </c>
    </row>
    <row r="213" spans="1:24" hidden="1" x14ac:dyDescent="0.2">
      <c r="A213" t="s">
        <v>794</v>
      </c>
      <c r="B213" t="s">
        <v>795</v>
      </c>
      <c r="C213">
        <v>1982</v>
      </c>
      <c r="D213">
        <v>1</v>
      </c>
      <c r="E213">
        <v>1</v>
      </c>
      <c r="F213">
        <v>79</v>
      </c>
      <c r="G213">
        <v>167</v>
      </c>
      <c r="H213">
        <f t="shared" si="7"/>
        <v>28.326580372189753</v>
      </c>
      <c r="I213">
        <v>94</v>
      </c>
      <c r="J213">
        <v>119</v>
      </c>
      <c r="K213">
        <v>5.8</v>
      </c>
      <c r="L213">
        <v>0</v>
      </c>
      <c r="M213">
        <v>0</v>
      </c>
      <c r="N213">
        <v>0</v>
      </c>
      <c r="O213">
        <v>313</v>
      </c>
      <c r="P213">
        <v>0</v>
      </c>
      <c r="Q213">
        <v>55</v>
      </c>
      <c r="R213">
        <v>291</v>
      </c>
      <c r="S213">
        <v>257</v>
      </c>
      <c r="T213">
        <v>8.1</v>
      </c>
      <c r="U213">
        <v>5</v>
      </c>
      <c r="V213">
        <v>1</v>
      </c>
      <c r="W213">
        <f t="shared" si="22"/>
        <v>924.22487329062324</v>
      </c>
      <c r="X213">
        <f t="shared" si="23"/>
        <v>93.842646907640102</v>
      </c>
    </row>
    <row r="214" spans="1:24" x14ac:dyDescent="0.2">
      <c r="A214" t="s">
        <v>396</v>
      </c>
      <c r="B214" t="s">
        <v>397</v>
      </c>
      <c r="C214">
        <v>1982</v>
      </c>
      <c r="D214">
        <v>1</v>
      </c>
      <c r="E214">
        <v>1</v>
      </c>
      <c r="F214">
        <v>70</v>
      </c>
      <c r="G214">
        <v>168</v>
      </c>
      <c r="H214">
        <f t="shared" si="7"/>
        <v>24.801587301587304</v>
      </c>
      <c r="I214">
        <v>86</v>
      </c>
      <c r="J214">
        <v>88</v>
      </c>
      <c r="K214">
        <v>4.97</v>
      </c>
      <c r="L214">
        <v>0</v>
      </c>
      <c r="M214">
        <v>0</v>
      </c>
      <c r="N214">
        <v>0</v>
      </c>
      <c r="O214">
        <v>183</v>
      </c>
      <c r="P214">
        <v>0</v>
      </c>
      <c r="Q214">
        <v>51</v>
      </c>
      <c r="R214">
        <v>49</v>
      </c>
      <c r="S214">
        <v>191</v>
      </c>
      <c r="T214">
        <v>7.3</v>
      </c>
      <c r="U214">
        <v>4.4000000000000004</v>
      </c>
      <c r="V214">
        <v>0</v>
      </c>
      <c r="W214">
        <f>LN(O214*J214/2)*I214</f>
        <v>773.45611766133277</v>
      </c>
      <c r="X214">
        <f t="shared" si="23"/>
        <v>50.484682633317327</v>
      </c>
    </row>
    <row r="215" spans="1:24" x14ac:dyDescent="0.2">
      <c r="A215" t="s">
        <v>398</v>
      </c>
      <c r="B215" t="s">
        <v>399</v>
      </c>
      <c r="C215">
        <v>1989</v>
      </c>
      <c r="D215">
        <v>1</v>
      </c>
      <c r="E215">
        <v>1</v>
      </c>
      <c r="F215">
        <v>68</v>
      </c>
      <c r="G215">
        <v>173</v>
      </c>
      <c r="H215">
        <f t="shared" si="7"/>
        <v>22.720438370810918</v>
      </c>
      <c r="I215">
        <v>90</v>
      </c>
      <c r="J215">
        <v>94</v>
      </c>
      <c r="K215">
        <v>5.4</v>
      </c>
      <c r="L215">
        <v>0</v>
      </c>
      <c r="M215">
        <v>0</v>
      </c>
      <c r="N215">
        <v>0</v>
      </c>
      <c r="O215">
        <v>147</v>
      </c>
      <c r="P215">
        <v>0</v>
      </c>
      <c r="Q215">
        <v>34</v>
      </c>
      <c r="R215">
        <v>86</v>
      </c>
      <c r="S215">
        <v>274</v>
      </c>
      <c r="T215">
        <v>7.1</v>
      </c>
      <c r="U215">
        <v>5.4</v>
      </c>
      <c r="V215">
        <v>0</v>
      </c>
      <c r="W215">
        <f>LN(O215*J215/2)*I215</f>
        <v>795.65221696399158</v>
      </c>
      <c r="X215">
        <f t="shared" si="23"/>
        <v>53.42573808800865</v>
      </c>
    </row>
    <row r="216" spans="1:24" hidden="1" x14ac:dyDescent="0.2">
      <c r="A216" t="s">
        <v>796</v>
      </c>
      <c r="B216" t="s">
        <v>797</v>
      </c>
      <c r="C216">
        <v>1988</v>
      </c>
      <c r="D216">
        <v>1</v>
      </c>
      <c r="E216">
        <v>1</v>
      </c>
      <c r="F216">
        <v>58</v>
      </c>
      <c r="G216">
        <v>154</v>
      </c>
      <c r="H216">
        <f t="shared" si="7"/>
        <v>24.456063417102378</v>
      </c>
      <c r="I216">
        <v>86</v>
      </c>
      <c r="J216">
        <v>94</v>
      </c>
      <c r="K216">
        <v>5.5</v>
      </c>
      <c r="L216">
        <v>0</v>
      </c>
      <c r="M216">
        <v>0</v>
      </c>
      <c r="N216">
        <v>0</v>
      </c>
      <c r="O216">
        <v>282</v>
      </c>
      <c r="P216">
        <v>0</v>
      </c>
      <c r="Q216">
        <v>58</v>
      </c>
      <c r="R216">
        <v>49</v>
      </c>
      <c r="S216">
        <v>239</v>
      </c>
      <c r="T216">
        <v>6.1</v>
      </c>
      <c r="U216">
        <v>4.4000000000000004</v>
      </c>
      <c r="V216">
        <v>1</v>
      </c>
      <c r="W216">
        <f>LN(O216*J216/2)*I216</f>
        <v>816.31670184774271</v>
      </c>
      <c r="X216">
        <f t="shared" si="23"/>
        <v>59.470667284160108</v>
      </c>
    </row>
    <row r="217" spans="1:24" x14ac:dyDescent="0.2">
      <c r="A217" t="s">
        <v>400</v>
      </c>
      <c r="B217" t="s">
        <v>401</v>
      </c>
      <c r="C217">
        <v>1994</v>
      </c>
      <c r="D217">
        <v>0</v>
      </c>
      <c r="E217">
        <v>1</v>
      </c>
      <c r="F217">
        <v>60</v>
      </c>
      <c r="G217">
        <v>151</v>
      </c>
      <c r="H217">
        <f t="shared" si="7"/>
        <v>26.314635323012148</v>
      </c>
      <c r="I217">
        <v>87</v>
      </c>
      <c r="J217">
        <v>110</v>
      </c>
      <c r="K217">
        <v>5.3</v>
      </c>
      <c r="L217">
        <v>0</v>
      </c>
      <c r="M217">
        <v>0</v>
      </c>
      <c r="N217">
        <v>0</v>
      </c>
      <c r="O217">
        <v>162</v>
      </c>
      <c r="P217">
        <v>0</v>
      </c>
      <c r="Q217">
        <v>49</v>
      </c>
      <c r="R217">
        <v>64</v>
      </c>
      <c r="S217">
        <v>333</v>
      </c>
      <c r="T217">
        <v>4.7</v>
      </c>
      <c r="U217">
        <v>7.3</v>
      </c>
      <c r="V217">
        <v>0</v>
      </c>
      <c r="W217">
        <f t="shared" ref="W217:W229" si="24">LN(O217*J217/2)*I217</f>
        <v>791.25886828044247</v>
      </c>
      <c r="X217">
        <f t="shared" si="23"/>
        <v>58.862683302340066</v>
      </c>
    </row>
    <row r="218" spans="1:24" x14ac:dyDescent="0.2">
      <c r="A218" t="s">
        <v>402</v>
      </c>
      <c r="B218" t="s">
        <v>403</v>
      </c>
      <c r="C218">
        <v>1979</v>
      </c>
      <c r="D218">
        <v>1</v>
      </c>
      <c r="E218">
        <v>1</v>
      </c>
      <c r="F218">
        <v>61</v>
      </c>
      <c r="G218">
        <v>161</v>
      </c>
      <c r="H218">
        <f t="shared" si="7"/>
        <v>23.533042706685695</v>
      </c>
      <c r="I218">
        <v>80</v>
      </c>
      <c r="J218">
        <v>90</v>
      </c>
      <c r="K218">
        <v>5.5</v>
      </c>
      <c r="L218">
        <v>0</v>
      </c>
      <c r="M218">
        <v>0</v>
      </c>
      <c r="N218">
        <v>0</v>
      </c>
      <c r="O218">
        <v>139</v>
      </c>
      <c r="P218">
        <v>0</v>
      </c>
      <c r="Q218">
        <v>60</v>
      </c>
      <c r="R218">
        <v>33</v>
      </c>
      <c r="S218">
        <v>264</v>
      </c>
      <c r="T218">
        <v>5.2</v>
      </c>
      <c r="U218">
        <v>5</v>
      </c>
      <c r="V218">
        <v>0</v>
      </c>
      <c r="W218">
        <f t="shared" si="24"/>
        <v>699.29091383208083</v>
      </c>
      <c r="X218">
        <f t="shared" si="23"/>
        <v>26.48597267066744</v>
      </c>
    </row>
    <row r="219" spans="1:24" x14ac:dyDescent="0.2">
      <c r="A219" t="s">
        <v>404</v>
      </c>
      <c r="B219" t="s">
        <v>405</v>
      </c>
      <c r="C219">
        <v>1989</v>
      </c>
      <c r="D219">
        <v>1</v>
      </c>
      <c r="E219">
        <v>1</v>
      </c>
      <c r="F219">
        <v>65</v>
      </c>
      <c r="G219">
        <v>164</v>
      </c>
      <c r="H219">
        <f t="shared" si="7"/>
        <v>24.167162403331353</v>
      </c>
      <c r="I219">
        <v>89</v>
      </c>
      <c r="J219">
        <v>97</v>
      </c>
      <c r="K219">
        <v>5.29</v>
      </c>
      <c r="L219">
        <v>0</v>
      </c>
      <c r="M219">
        <v>0</v>
      </c>
      <c r="N219">
        <v>0</v>
      </c>
      <c r="O219">
        <v>159</v>
      </c>
      <c r="P219">
        <v>0</v>
      </c>
      <c r="Q219">
        <v>41</v>
      </c>
      <c r="R219">
        <v>154</v>
      </c>
      <c r="S219">
        <v>278</v>
      </c>
      <c r="T219">
        <v>8.8000000000000007</v>
      </c>
      <c r="U219">
        <v>5.6</v>
      </c>
      <c r="V219">
        <v>0</v>
      </c>
      <c r="W219">
        <f t="shared" si="24"/>
        <v>796.59165201456653</v>
      </c>
      <c r="X219">
        <f t="shared" si="23"/>
        <v>68.534234466972876</v>
      </c>
    </row>
    <row r="220" spans="1:24" x14ac:dyDescent="0.2">
      <c r="A220" t="s">
        <v>406</v>
      </c>
      <c r="B220" t="s">
        <v>407</v>
      </c>
      <c r="C220">
        <v>1978</v>
      </c>
      <c r="D220">
        <v>0</v>
      </c>
      <c r="E220">
        <v>1</v>
      </c>
      <c r="F220">
        <v>61</v>
      </c>
      <c r="G220">
        <v>152</v>
      </c>
      <c r="H220">
        <f t="shared" si="7"/>
        <v>26.402354570637119</v>
      </c>
      <c r="I220">
        <v>82</v>
      </c>
      <c r="J220">
        <v>99</v>
      </c>
      <c r="K220">
        <v>5.76</v>
      </c>
      <c r="L220">
        <v>0</v>
      </c>
      <c r="M220">
        <v>1</v>
      </c>
      <c r="N220">
        <v>1</v>
      </c>
      <c r="O220">
        <v>104</v>
      </c>
      <c r="P220">
        <v>0</v>
      </c>
      <c r="Q220">
        <v>48</v>
      </c>
      <c r="R220">
        <v>39</v>
      </c>
      <c r="S220">
        <v>331</v>
      </c>
      <c r="T220">
        <v>6.5</v>
      </c>
      <c r="U220">
        <v>7.1</v>
      </c>
      <c r="V220">
        <v>0</v>
      </c>
      <c r="W220">
        <f t="shared" si="24"/>
        <v>700.80181263471343</v>
      </c>
      <c r="X220">
        <f t="shared" si="23"/>
        <v>33.793035600600575</v>
      </c>
    </row>
    <row r="221" spans="1:24" x14ac:dyDescent="0.2">
      <c r="A221" t="s">
        <v>408</v>
      </c>
      <c r="B221" t="s">
        <v>409</v>
      </c>
      <c r="C221">
        <v>1994</v>
      </c>
      <c r="D221">
        <v>1</v>
      </c>
      <c r="E221">
        <v>1</v>
      </c>
      <c r="F221">
        <v>75</v>
      </c>
      <c r="G221">
        <v>161</v>
      </c>
      <c r="H221">
        <f t="shared" si="7"/>
        <v>28.934068901662741</v>
      </c>
      <c r="I221">
        <v>95</v>
      </c>
      <c r="J221">
        <v>139</v>
      </c>
      <c r="K221">
        <v>7.6</v>
      </c>
      <c r="L221">
        <v>1</v>
      </c>
      <c r="M221">
        <v>0</v>
      </c>
      <c r="N221">
        <v>1</v>
      </c>
      <c r="O221">
        <v>293</v>
      </c>
      <c r="P221">
        <v>0</v>
      </c>
      <c r="Q221">
        <v>45</v>
      </c>
      <c r="R221">
        <v>44</v>
      </c>
      <c r="S221">
        <v>301</v>
      </c>
      <c r="T221">
        <v>5.4</v>
      </c>
      <c r="U221">
        <v>6</v>
      </c>
      <c r="V221">
        <v>0</v>
      </c>
      <c r="W221">
        <f t="shared" si="24"/>
        <v>942.54243935084219</v>
      </c>
      <c r="X221">
        <f t="shared" si="23"/>
        <v>80.877781767460789</v>
      </c>
    </row>
    <row r="222" spans="1:24" x14ac:dyDescent="0.2">
      <c r="A222" t="s">
        <v>410</v>
      </c>
      <c r="B222" t="s">
        <v>411</v>
      </c>
      <c r="C222">
        <v>1991</v>
      </c>
      <c r="D222">
        <v>1</v>
      </c>
      <c r="E222">
        <v>1</v>
      </c>
      <c r="F222">
        <v>82</v>
      </c>
      <c r="G222">
        <v>175</v>
      </c>
      <c r="H222">
        <f t="shared" si="7"/>
        <v>26.775510204081634</v>
      </c>
      <c r="I222">
        <v>92</v>
      </c>
      <c r="J222">
        <v>86</v>
      </c>
      <c r="K222">
        <v>4.78</v>
      </c>
      <c r="L222">
        <v>0</v>
      </c>
      <c r="M222">
        <v>0</v>
      </c>
      <c r="N222">
        <v>0</v>
      </c>
      <c r="O222">
        <v>447</v>
      </c>
      <c r="P222">
        <v>0</v>
      </c>
      <c r="Q222">
        <v>39</v>
      </c>
      <c r="R222">
        <v>61</v>
      </c>
      <c r="S222">
        <v>327</v>
      </c>
      <c r="T222">
        <v>7</v>
      </c>
      <c r="U222">
        <v>7.1</v>
      </c>
      <c r="V222">
        <v>0</v>
      </c>
      <c r="W222">
        <f t="shared" si="24"/>
        <v>907.46580134825604</v>
      </c>
      <c r="X222">
        <f t="shared" si="23"/>
        <v>83.48146701491369</v>
      </c>
    </row>
    <row r="223" spans="1:24" x14ac:dyDescent="0.2">
      <c r="A223" t="s">
        <v>412</v>
      </c>
      <c r="B223" t="s">
        <v>413</v>
      </c>
      <c r="C223">
        <v>1983</v>
      </c>
      <c r="D223">
        <v>1</v>
      </c>
      <c r="E223">
        <v>1</v>
      </c>
      <c r="F223">
        <v>75</v>
      </c>
      <c r="G223">
        <v>169</v>
      </c>
      <c r="H223">
        <f t="shared" si="7"/>
        <v>26.259584748433181</v>
      </c>
      <c r="I223">
        <v>89</v>
      </c>
      <c r="J223">
        <v>105</v>
      </c>
      <c r="K223">
        <v>5.49</v>
      </c>
      <c r="L223">
        <v>0</v>
      </c>
      <c r="M223">
        <v>0</v>
      </c>
      <c r="N223">
        <v>0</v>
      </c>
      <c r="O223">
        <v>218</v>
      </c>
      <c r="P223">
        <v>0</v>
      </c>
      <c r="Q223">
        <v>50</v>
      </c>
      <c r="R223">
        <v>89</v>
      </c>
      <c r="S223">
        <v>253</v>
      </c>
      <c r="T223">
        <v>5.0999999999999996</v>
      </c>
      <c r="U223">
        <v>5.0999999999999996</v>
      </c>
      <c r="V223">
        <v>0</v>
      </c>
      <c r="W223">
        <f t="shared" si="24"/>
        <v>831.73243268241345</v>
      </c>
      <c r="X223">
        <f t="shared" si="23"/>
        <v>72.638277794159109</v>
      </c>
    </row>
    <row r="224" spans="1:24" x14ac:dyDescent="0.2">
      <c r="A224" t="s">
        <v>414</v>
      </c>
      <c r="B224" t="s">
        <v>415</v>
      </c>
      <c r="C224">
        <v>1997</v>
      </c>
      <c r="D224">
        <v>1</v>
      </c>
      <c r="E224">
        <v>1</v>
      </c>
      <c r="F224">
        <v>69</v>
      </c>
      <c r="G224">
        <v>163</v>
      </c>
      <c r="H224">
        <f t="shared" si="7"/>
        <v>25.970115548195267</v>
      </c>
      <c r="I224">
        <v>84</v>
      </c>
      <c r="J224">
        <v>97</v>
      </c>
      <c r="K224">
        <v>5.21</v>
      </c>
      <c r="L224">
        <v>0</v>
      </c>
      <c r="M224">
        <v>0</v>
      </c>
      <c r="N224">
        <v>0</v>
      </c>
      <c r="O224">
        <v>326</v>
      </c>
      <c r="P224">
        <v>0</v>
      </c>
      <c r="Q224">
        <v>54</v>
      </c>
      <c r="R224">
        <v>64</v>
      </c>
      <c r="S224">
        <v>337</v>
      </c>
      <c r="T224">
        <v>7</v>
      </c>
      <c r="U224">
        <v>7.5</v>
      </c>
      <c r="V224">
        <v>0</v>
      </c>
      <c r="W224">
        <f t="shared" si="24"/>
        <v>812.15073906205225</v>
      </c>
      <c r="X224">
        <f t="shared" si="23"/>
        <v>69.377707031656442</v>
      </c>
    </row>
    <row r="225" spans="1:24" x14ac:dyDescent="0.2">
      <c r="A225" t="s">
        <v>416</v>
      </c>
      <c r="B225" t="s">
        <v>417</v>
      </c>
      <c r="C225">
        <v>1993</v>
      </c>
      <c r="D225">
        <v>1</v>
      </c>
      <c r="E225">
        <v>1</v>
      </c>
      <c r="F225">
        <v>69</v>
      </c>
      <c r="G225">
        <v>167</v>
      </c>
      <c r="H225">
        <f t="shared" si="7"/>
        <v>24.740937287102444</v>
      </c>
      <c r="I225">
        <v>82</v>
      </c>
      <c r="J225">
        <v>88</v>
      </c>
      <c r="K225">
        <v>5.1100000000000003</v>
      </c>
      <c r="L225">
        <v>0</v>
      </c>
      <c r="M225">
        <v>0</v>
      </c>
      <c r="N225">
        <v>0</v>
      </c>
      <c r="O225">
        <v>157</v>
      </c>
      <c r="P225">
        <v>0</v>
      </c>
      <c r="Q225">
        <v>64</v>
      </c>
      <c r="R225">
        <v>70</v>
      </c>
      <c r="S225">
        <v>249</v>
      </c>
      <c r="T225">
        <v>6.5</v>
      </c>
      <c r="U225">
        <v>4.8</v>
      </c>
      <c r="V225">
        <v>0</v>
      </c>
      <c r="W225">
        <f t="shared" si="24"/>
        <v>724.9157060198587</v>
      </c>
      <c r="X225">
        <f t="shared" si="23"/>
        <v>47.726870994199153</v>
      </c>
    </row>
    <row r="226" spans="1:24" x14ac:dyDescent="0.2">
      <c r="A226" t="s">
        <v>418</v>
      </c>
      <c r="B226" t="s">
        <v>419</v>
      </c>
      <c r="C226">
        <v>1984</v>
      </c>
      <c r="D226">
        <v>0</v>
      </c>
      <c r="E226">
        <v>1</v>
      </c>
      <c r="F226">
        <v>59</v>
      </c>
      <c r="G226">
        <v>159</v>
      </c>
      <c r="H226">
        <f t="shared" si="7"/>
        <v>23.337684427040067</v>
      </c>
      <c r="I226">
        <v>78</v>
      </c>
      <c r="J226">
        <v>153</v>
      </c>
      <c r="K226">
        <v>8.35</v>
      </c>
      <c r="L226">
        <v>1</v>
      </c>
      <c r="M226">
        <v>0</v>
      </c>
      <c r="N226">
        <v>0</v>
      </c>
      <c r="O226">
        <v>230</v>
      </c>
      <c r="P226">
        <v>1</v>
      </c>
      <c r="Q226">
        <v>38</v>
      </c>
      <c r="R226">
        <v>35</v>
      </c>
      <c r="S226">
        <v>324</v>
      </c>
      <c r="T226">
        <v>7.4</v>
      </c>
      <c r="U226">
        <v>7</v>
      </c>
      <c r="V226">
        <v>0</v>
      </c>
      <c r="W226">
        <f t="shared" si="24"/>
        <v>762.47886388094355</v>
      </c>
      <c r="X226">
        <f t="shared" si="23"/>
        <v>34.709516849707484</v>
      </c>
    </row>
    <row r="227" spans="1:24" x14ac:dyDescent="0.2">
      <c r="A227" t="s">
        <v>420</v>
      </c>
      <c r="B227" t="s">
        <v>421</v>
      </c>
      <c r="C227">
        <v>1985</v>
      </c>
      <c r="D227">
        <v>0</v>
      </c>
      <c r="E227">
        <v>1</v>
      </c>
      <c r="F227">
        <v>56</v>
      </c>
      <c r="G227">
        <v>152</v>
      </c>
      <c r="H227">
        <f t="shared" si="7"/>
        <v>24.238227146814403</v>
      </c>
      <c r="I227">
        <v>84</v>
      </c>
      <c r="J227">
        <v>90</v>
      </c>
      <c r="K227">
        <v>5.5</v>
      </c>
      <c r="L227">
        <v>0</v>
      </c>
      <c r="M227">
        <v>0</v>
      </c>
      <c r="N227">
        <v>0</v>
      </c>
      <c r="O227">
        <v>110</v>
      </c>
      <c r="P227">
        <v>0</v>
      </c>
      <c r="Q227">
        <v>42</v>
      </c>
      <c r="R227">
        <v>167</v>
      </c>
      <c r="S227">
        <v>227</v>
      </c>
      <c r="T227">
        <v>6.5</v>
      </c>
      <c r="U227">
        <v>4.4000000000000004</v>
      </c>
      <c r="V227">
        <v>0</v>
      </c>
      <c r="W227">
        <f t="shared" si="24"/>
        <v>714.59999986726973</v>
      </c>
      <c r="X227">
        <f t="shared" si="23"/>
        <v>55.734430110308885</v>
      </c>
    </row>
    <row r="228" spans="1:24" x14ac:dyDescent="0.2">
      <c r="A228" t="s">
        <v>422</v>
      </c>
      <c r="B228" t="s">
        <v>423</v>
      </c>
      <c r="C228">
        <v>1987</v>
      </c>
      <c r="D228">
        <v>0</v>
      </c>
      <c r="E228">
        <v>1</v>
      </c>
      <c r="F228">
        <v>54</v>
      </c>
      <c r="G228">
        <v>151</v>
      </c>
      <c r="H228">
        <f t="shared" si="7"/>
        <v>23.683171790710933</v>
      </c>
      <c r="I228">
        <v>88</v>
      </c>
      <c r="J228">
        <v>81</v>
      </c>
      <c r="K228">
        <v>5.5</v>
      </c>
      <c r="L228">
        <v>0</v>
      </c>
      <c r="M228">
        <v>0</v>
      </c>
      <c r="N228">
        <v>0</v>
      </c>
      <c r="O228">
        <v>169</v>
      </c>
      <c r="P228">
        <v>0</v>
      </c>
      <c r="Q228">
        <v>45</v>
      </c>
      <c r="R228">
        <v>52</v>
      </c>
      <c r="S228">
        <v>229</v>
      </c>
      <c r="T228">
        <v>4.0999999999999996</v>
      </c>
      <c r="U228">
        <v>4.4000000000000004</v>
      </c>
      <c r="V228">
        <v>0</v>
      </c>
      <c r="W228">
        <f t="shared" si="24"/>
        <v>777.14566063512996</v>
      </c>
      <c r="X228">
        <f t="shared" si="23"/>
        <v>48.419210617310029</v>
      </c>
    </row>
    <row r="229" spans="1:24" x14ac:dyDescent="0.2">
      <c r="A229" t="s">
        <v>424</v>
      </c>
      <c r="B229" t="s">
        <v>425</v>
      </c>
      <c r="C229">
        <v>1995</v>
      </c>
      <c r="D229">
        <v>1</v>
      </c>
      <c r="E229">
        <v>1</v>
      </c>
      <c r="F229">
        <v>76</v>
      </c>
      <c r="G229">
        <v>176</v>
      </c>
      <c r="H229">
        <f t="shared" si="7"/>
        <v>24.535123966942148</v>
      </c>
      <c r="I229">
        <v>90</v>
      </c>
      <c r="J229">
        <v>101</v>
      </c>
      <c r="K229">
        <v>4.5</v>
      </c>
      <c r="L229">
        <v>0</v>
      </c>
      <c r="M229">
        <v>0</v>
      </c>
      <c r="N229">
        <v>0</v>
      </c>
      <c r="O229">
        <v>160</v>
      </c>
      <c r="P229">
        <v>0</v>
      </c>
      <c r="Q229">
        <v>49</v>
      </c>
      <c r="R229">
        <v>39</v>
      </c>
      <c r="S229">
        <v>254</v>
      </c>
      <c r="T229">
        <v>5.2</v>
      </c>
      <c r="U229">
        <v>5.0999999999999996</v>
      </c>
      <c r="V229">
        <v>0</v>
      </c>
      <c r="W229">
        <f t="shared" si="24"/>
        <v>809.74324363636276</v>
      </c>
      <c r="X229">
        <f t="shared" si="23"/>
        <v>47.563434969783856</v>
      </c>
    </row>
    <row r="230" spans="1:24" x14ac:dyDescent="0.2">
      <c r="A230" t="s">
        <v>426</v>
      </c>
      <c r="B230" t="s">
        <v>427</v>
      </c>
      <c r="C230">
        <v>1995</v>
      </c>
      <c r="D230">
        <v>1</v>
      </c>
      <c r="E230">
        <v>1</v>
      </c>
      <c r="F230">
        <v>69</v>
      </c>
      <c r="G230">
        <v>162</v>
      </c>
      <c r="H230">
        <f t="shared" si="7"/>
        <v>26.291723822588015</v>
      </c>
      <c r="I230">
        <v>90</v>
      </c>
      <c r="J230">
        <v>94</v>
      </c>
      <c r="K230">
        <v>5.5</v>
      </c>
      <c r="L230">
        <v>0</v>
      </c>
      <c r="M230">
        <v>0</v>
      </c>
      <c r="N230">
        <v>0</v>
      </c>
      <c r="O230">
        <v>301</v>
      </c>
      <c r="P230">
        <v>0</v>
      </c>
      <c r="Q230">
        <v>45</v>
      </c>
      <c r="R230">
        <v>210</v>
      </c>
      <c r="S230">
        <v>274</v>
      </c>
      <c r="T230">
        <v>5.9</v>
      </c>
      <c r="U230">
        <v>5.3</v>
      </c>
      <c r="V230">
        <v>0</v>
      </c>
      <c r="W230">
        <f>LN(O230*J230/2)*I230</f>
        <v>860.15320798130415</v>
      </c>
      <c r="X230">
        <f t="shared" si="23"/>
        <v>87.627828423451504</v>
      </c>
    </row>
    <row r="231" spans="1:24" x14ac:dyDescent="0.2">
      <c r="A231" t="s">
        <v>428</v>
      </c>
      <c r="B231" t="s">
        <v>429</v>
      </c>
      <c r="C231">
        <v>1985</v>
      </c>
      <c r="D231">
        <v>1</v>
      </c>
      <c r="E231">
        <v>1</v>
      </c>
      <c r="F231">
        <v>65</v>
      </c>
      <c r="G231">
        <v>167</v>
      </c>
      <c r="H231">
        <f t="shared" si="7"/>
        <v>23.306680053067517</v>
      </c>
      <c r="I231">
        <v>80</v>
      </c>
      <c r="J231">
        <v>90</v>
      </c>
      <c r="K231">
        <v>5.5</v>
      </c>
      <c r="L231">
        <v>0</v>
      </c>
      <c r="M231">
        <v>0</v>
      </c>
      <c r="N231">
        <v>0</v>
      </c>
      <c r="O231">
        <v>131</v>
      </c>
      <c r="P231">
        <v>0</v>
      </c>
      <c r="Q231">
        <v>52</v>
      </c>
      <c r="R231">
        <v>23</v>
      </c>
      <c r="S231">
        <v>276</v>
      </c>
      <c r="T231">
        <v>5.4</v>
      </c>
      <c r="U231">
        <v>5.4</v>
      </c>
      <c r="V231">
        <v>0</v>
      </c>
      <c r="W231">
        <f>LN(O231*J231/2)*I231</f>
        <v>694.54878503771761</v>
      </c>
      <c r="X231">
        <f t="shared" si="23"/>
        <v>20.293935505604704</v>
      </c>
    </row>
    <row r="232" spans="1:24" x14ac:dyDescent="0.2">
      <c r="A232" t="s">
        <v>430</v>
      </c>
      <c r="B232" t="s">
        <v>431</v>
      </c>
      <c r="C232">
        <v>1968</v>
      </c>
      <c r="D232">
        <v>0</v>
      </c>
      <c r="E232">
        <v>1</v>
      </c>
      <c r="F232">
        <v>73</v>
      </c>
      <c r="G232">
        <v>146</v>
      </c>
      <c r="H232">
        <f t="shared" si="7"/>
        <v>34.246575342465761</v>
      </c>
      <c r="I232">
        <v>105</v>
      </c>
      <c r="J232">
        <v>132</v>
      </c>
      <c r="K232">
        <v>7.63</v>
      </c>
      <c r="L232">
        <v>1</v>
      </c>
      <c r="M232">
        <v>0</v>
      </c>
      <c r="N232">
        <v>1</v>
      </c>
      <c r="O232">
        <v>105</v>
      </c>
      <c r="P232">
        <v>1</v>
      </c>
      <c r="Q232">
        <v>53</v>
      </c>
      <c r="R232">
        <v>45</v>
      </c>
      <c r="S232">
        <v>336</v>
      </c>
      <c r="T232">
        <v>10.1</v>
      </c>
      <c r="U232">
        <v>7.5</v>
      </c>
      <c r="V232">
        <v>0</v>
      </c>
      <c r="W232">
        <f t="shared" ref="W232:W241" si="25">LN(O232*J232/2)*I232</f>
        <v>928.57958467931462</v>
      </c>
      <c r="X232">
        <f t="shared" si="23"/>
        <v>85.178646808694964</v>
      </c>
    </row>
    <row r="233" spans="1:24" x14ac:dyDescent="0.2">
      <c r="A233" t="s">
        <v>432</v>
      </c>
      <c r="B233" t="s">
        <v>433</v>
      </c>
      <c r="C233">
        <v>1982</v>
      </c>
      <c r="D233">
        <v>0</v>
      </c>
      <c r="E233">
        <v>1</v>
      </c>
      <c r="F233">
        <v>66</v>
      </c>
      <c r="G233">
        <v>151</v>
      </c>
      <c r="H233">
        <f t="shared" si="7"/>
        <v>28.946098855313362</v>
      </c>
      <c r="I233">
        <v>82</v>
      </c>
      <c r="J233">
        <v>108</v>
      </c>
      <c r="K233">
        <v>5.89</v>
      </c>
      <c r="L233">
        <v>0</v>
      </c>
      <c r="M233">
        <v>0</v>
      </c>
      <c r="N233">
        <v>0</v>
      </c>
      <c r="O233">
        <v>86</v>
      </c>
      <c r="P233">
        <v>0</v>
      </c>
      <c r="Q233">
        <v>58</v>
      </c>
      <c r="R233">
        <v>29</v>
      </c>
      <c r="S233">
        <v>289</v>
      </c>
      <c r="T233">
        <v>6</v>
      </c>
      <c r="U233">
        <v>5.9</v>
      </c>
      <c r="V233">
        <v>0</v>
      </c>
      <c r="W233">
        <f t="shared" si="25"/>
        <v>692.35317011105815</v>
      </c>
      <c r="X233">
        <f t="shared" si="23"/>
        <v>32.898465883467928</v>
      </c>
    </row>
    <row r="234" spans="1:24" x14ac:dyDescent="0.2">
      <c r="A234" t="s">
        <v>434</v>
      </c>
      <c r="B234" t="s">
        <v>435</v>
      </c>
      <c r="C234">
        <v>1987</v>
      </c>
      <c r="D234">
        <v>1</v>
      </c>
      <c r="E234">
        <v>1</v>
      </c>
      <c r="F234">
        <v>74</v>
      </c>
      <c r="G234">
        <v>172</v>
      </c>
      <c r="H234">
        <f t="shared" si="7"/>
        <v>25.013520822065985</v>
      </c>
      <c r="I234">
        <v>93</v>
      </c>
      <c r="J234">
        <v>123</v>
      </c>
      <c r="K234">
        <v>5.6</v>
      </c>
      <c r="L234">
        <v>0</v>
      </c>
      <c r="M234">
        <v>0</v>
      </c>
      <c r="N234">
        <v>0</v>
      </c>
      <c r="O234">
        <v>466</v>
      </c>
      <c r="P234">
        <v>0</v>
      </c>
      <c r="Q234">
        <v>34</v>
      </c>
      <c r="R234">
        <v>90</v>
      </c>
      <c r="S234">
        <v>339</v>
      </c>
      <c r="T234">
        <v>6.8</v>
      </c>
      <c r="U234">
        <v>7.5</v>
      </c>
      <c r="V234">
        <v>0</v>
      </c>
      <c r="W234">
        <f t="shared" si="25"/>
        <v>954.47972123124487</v>
      </c>
      <c r="X234">
        <f t="shared" si="23"/>
        <v>85.159318112531651</v>
      </c>
    </row>
    <row r="235" spans="1:24" x14ac:dyDescent="0.2">
      <c r="A235" t="s">
        <v>436</v>
      </c>
      <c r="B235" t="s">
        <v>437</v>
      </c>
      <c r="C235">
        <v>1992</v>
      </c>
      <c r="D235">
        <v>0</v>
      </c>
      <c r="E235">
        <v>1</v>
      </c>
      <c r="F235">
        <v>66</v>
      </c>
      <c r="G235">
        <v>151</v>
      </c>
      <c r="H235">
        <f t="shared" si="7"/>
        <v>28.946098855313362</v>
      </c>
      <c r="I235">
        <v>88</v>
      </c>
      <c r="J235">
        <v>88</v>
      </c>
      <c r="K235">
        <v>5.4</v>
      </c>
      <c r="L235">
        <v>0</v>
      </c>
      <c r="M235">
        <v>0</v>
      </c>
      <c r="N235">
        <v>0</v>
      </c>
      <c r="O235">
        <v>65</v>
      </c>
      <c r="P235">
        <v>0</v>
      </c>
      <c r="Q235">
        <v>44</v>
      </c>
      <c r="R235">
        <v>22</v>
      </c>
      <c r="S235">
        <v>278</v>
      </c>
      <c r="T235">
        <v>4.0999999999999996</v>
      </c>
      <c r="U235">
        <v>5.4</v>
      </c>
      <c r="V235">
        <v>0</v>
      </c>
      <c r="W235">
        <f t="shared" si="25"/>
        <v>700.35476753562307</v>
      </c>
      <c r="X235">
        <f t="shared" si="23"/>
        <v>29.735340478399014</v>
      </c>
    </row>
    <row r="236" spans="1:24" x14ac:dyDescent="0.2">
      <c r="A236" t="s">
        <v>438</v>
      </c>
      <c r="B236" t="s">
        <v>439</v>
      </c>
      <c r="C236">
        <v>1975</v>
      </c>
      <c r="D236">
        <v>1</v>
      </c>
      <c r="E236">
        <v>1</v>
      </c>
      <c r="F236">
        <v>69</v>
      </c>
      <c r="G236">
        <v>167</v>
      </c>
      <c r="H236">
        <f t="shared" si="7"/>
        <v>24.740937287102444</v>
      </c>
      <c r="I236">
        <v>87</v>
      </c>
      <c r="J236">
        <v>94</v>
      </c>
      <c r="K236">
        <v>5.58</v>
      </c>
      <c r="L236">
        <v>0</v>
      </c>
      <c r="M236">
        <v>0</v>
      </c>
      <c r="N236">
        <v>0</v>
      </c>
      <c r="O236">
        <v>127</v>
      </c>
      <c r="P236">
        <v>0</v>
      </c>
      <c r="Q236">
        <v>52</v>
      </c>
      <c r="R236">
        <v>39</v>
      </c>
      <c r="S236">
        <v>297</v>
      </c>
      <c r="T236">
        <v>6.9</v>
      </c>
      <c r="U236">
        <v>5.8</v>
      </c>
      <c r="V236">
        <v>0</v>
      </c>
      <c r="W236">
        <f t="shared" si="25"/>
        <v>756.40711787067255</v>
      </c>
      <c r="X236">
        <f t="shared" si="23"/>
        <v>38.98216031109267</v>
      </c>
    </row>
    <row r="237" spans="1:24" hidden="1" x14ac:dyDescent="0.2">
      <c r="A237" t="s">
        <v>798</v>
      </c>
      <c r="B237" t="s">
        <v>799</v>
      </c>
      <c r="C237">
        <v>1971</v>
      </c>
      <c r="D237">
        <v>1</v>
      </c>
      <c r="E237">
        <v>1</v>
      </c>
      <c r="F237">
        <v>58</v>
      </c>
      <c r="G237">
        <v>163</v>
      </c>
      <c r="H237">
        <f t="shared" si="7"/>
        <v>21.829952199932254</v>
      </c>
      <c r="I237">
        <v>82</v>
      </c>
      <c r="J237">
        <v>119</v>
      </c>
      <c r="K237">
        <v>6.7</v>
      </c>
      <c r="L237">
        <v>0</v>
      </c>
      <c r="M237">
        <v>0</v>
      </c>
      <c r="N237">
        <v>0</v>
      </c>
      <c r="O237">
        <v>234</v>
      </c>
      <c r="P237">
        <v>0</v>
      </c>
      <c r="Q237">
        <v>52</v>
      </c>
      <c r="R237">
        <v>110</v>
      </c>
      <c r="S237">
        <v>257</v>
      </c>
      <c r="T237">
        <v>5.5</v>
      </c>
      <c r="U237">
        <v>5</v>
      </c>
      <c r="V237">
        <v>1</v>
      </c>
      <c r="W237">
        <f t="shared" si="25"/>
        <v>782.38638908856137</v>
      </c>
      <c r="X237">
        <f t="shared" si="23"/>
        <v>55.211733101867239</v>
      </c>
    </row>
    <row r="238" spans="1:24" x14ac:dyDescent="0.2">
      <c r="A238" t="s">
        <v>440</v>
      </c>
      <c r="B238" t="s">
        <v>441</v>
      </c>
      <c r="C238">
        <v>1979</v>
      </c>
      <c r="D238">
        <v>0</v>
      </c>
      <c r="E238">
        <v>1</v>
      </c>
      <c r="F238">
        <v>50</v>
      </c>
      <c r="G238">
        <v>155</v>
      </c>
      <c r="H238">
        <f t="shared" si="7"/>
        <v>20.811654526534856</v>
      </c>
      <c r="I238">
        <v>79</v>
      </c>
      <c r="J238">
        <v>97</v>
      </c>
      <c r="K238">
        <v>5.87</v>
      </c>
      <c r="L238">
        <v>0</v>
      </c>
      <c r="M238">
        <v>0</v>
      </c>
      <c r="N238">
        <v>1</v>
      </c>
      <c r="O238">
        <v>168</v>
      </c>
      <c r="P238">
        <v>0</v>
      </c>
      <c r="Q238">
        <v>46</v>
      </c>
      <c r="R238">
        <v>20</v>
      </c>
      <c r="S238">
        <v>224</v>
      </c>
      <c r="T238">
        <v>5.7</v>
      </c>
      <c r="U238">
        <v>4.4000000000000004</v>
      </c>
      <c r="V238">
        <v>0</v>
      </c>
      <c r="W238">
        <f t="shared" si="25"/>
        <v>711.43669441038901</v>
      </c>
      <c r="X238">
        <f t="shared" si="23"/>
        <v>16.367882778749951</v>
      </c>
    </row>
    <row r="239" spans="1:24" x14ac:dyDescent="0.2">
      <c r="A239" t="s">
        <v>442</v>
      </c>
      <c r="B239" t="s">
        <v>443</v>
      </c>
      <c r="C239">
        <v>1974</v>
      </c>
      <c r="D239">
        <v>0</v>
      </c>
      <c r="E239">
        <v>1</v>
      </c>
      <c r="F239">
        <v>62</v>
      </c>
      <c r="G239">
        <v>163</v>
      </c>
      <c r="H239">
        <f t="shared" si="7"/>
        <v>23.335466144755166</v>
      </c>
      <c r="I239">
        <v>79</v>
      </c>
      <c r="J239">
        <v>169</v>
      </c>
      <c r="K239">
        <v>8.8000000000000007</v>
      </c>
      <c r="L239">
        <v>1</v>
      </c>
      <c r="M239">
        <v>0</v>
      </c>
      <c r="N239">
        <v>1</v>
      </c>
      <c r="O239">
        <v>206</v>
      </c>
      <c r="P239">
        <v>1</v>
      </c>
      <c r="Q239">
        <v>49</v>
      </c>
      <c r="R239">
        <v>50</v>
      </c>
      <c r="S239">
        <v>320</v>
      </c>
      <c r="T239">
        <v>4.5</v>
      </c>
      <c r="U239">
        <v>6.8</v>
      </c>
      <c r="V239">
        <v>0</v>
      </c>
      <c r="W239">
        <f t="shared" si="25"/>
        <v>771.40558854906396</v>
      </c>
      <c r="X239">
        <f t="shared" si="23"/>
        <v>39.458688589421818</v>
      </c>
    </row>
    <row r="240" spans="1:24" x14ac:dyDescent="0.2">
      <c r="A240" t="s">
        <v>444</v>
      </c>
      <c r="B240" t="s">
        <v>445</v>
      </c>
      <c r="C240">
        <v>1983</v>
      </c>
      <c r="D240">
        <v>1</v>
      </c>
      <c r="E240">
        <v>1</v>
      </c>
      <c r="F240">
        <v>81</v>
      </c>
      <c r="G240">
        <v>166</v>
      </c>
      <c r="H240">
        <f t="shared" si="7"/>
        <v>29.3946871824648</v>
      </c>
      <c r="I240">
        <v>97</v>
      </c>
      <c r="J240">
        <v>90</v>
      </c>
      <c r="K240">
        <v>5.0999999999999996</v>
      </c>
      <c r="L240">
        <v>0</v>
      </c>
      <c r="M240">
        <v>0</v>
      </c>
      <c r="N240">
        <v>0</v>
      </c>
      <c r="O240">
        <v>392</v>
      </c>
      <c r="P240">
        <v>0</v>
      </c>
      <c r="Q240">
        <v>38</v>
      </c>
      <c r="R240">
        <v>81</v>
      </c>
      <c r="S240">
        <v>302</v>
      </c>
      <c r="T240">
        <v>7</v>
      </c>
      <c r="U240">
        <v>6.2</v>
      </c>
      <c r="V240">
        <v>0</v>
      </c>
      <c r="W240">
        <f t="shared" si="25"/>
        <v>948.45865996739587</v>
      </c>
      <c r="X240">
        <f t="shared" si="23"/>
        <v>91.114437839111176</v>
      </c>
    </row>
    <row r="241" spans="1:24" x14ac:dyDescent="0.2">
      <c r="A241" t="s">
        <v>446</v>
      </c>
      <c r="B241" t="s">
        <v>447</v>
      </c>
      <c r="C241">
        <v>1972</v>
      </c>
      <c r="D241">
        <v>1</v>
      </c>
      <c r="E241">
        <v>1</v>
      </c>
      <c r="F241">
        <v>51</v>
      </c>
      <c r="G241">
        <v>165</v>
      </c>
      <c r="H241">
        <f t="shared" si="7"/>
        <v>18.732782369146008</v>
      </c>
      <c r="I241">
        <v>81</v>
      </c>
      <c r="J241">
        <v>96</v>
      </c>
      <c r="K241">
        <v>5.81</v>
      </c>
      <c r="L241">
        <v>0</v>
      </c>
      <c r="M241">
        <v>0</v>
      </c>
      <c r="N241">
        <v>0</v>
      </c>
      <c r="O241">
        <v>166</v>
      </c>
      <c r="P241">
        <v>0</v>
      </c>
      <c r="Q241">
        <v>81</v>
      </c>
      <c r="R241">
        <v>79</v>
      </c>
      <c r="S241">
        <v>244</v>
      </c>
      <c r="T241">
        <v>5.4</v>
      </c>
      <c r="U241">
        <v>4.9000000000000004</v>
      </c>
      <c r="V241">
        <v>0</v>
      </c>
      <c r="W241">
        <f t="shared" si="25"/>
        <v>727.63829274041916</v>
      </c>
      <c r="X241">
        <f t="shared" si="23"/>
        <v>30.171271101281178</v>
      </c>
    </row>
    <row r="242" spans="1:24" x14ac:dyDescent="0.2">
      <c r="A242" t="s">
        <v>448</v>
      </c>
      <c r="B242" t="s">
        <v>449</v>
      </c>
      <c r="C242">
        <v>1981</v>
      </c>
      <c r="D242">
        <v>0</v>
      </c>
      <c r="E242">
        <v>1</v>
      </c>
      <c r="F242">
        <v>59</v>
      </c>
      <c r="G242">
        <v>157</v>
      </c>
      <c r="H242">
        <f t="shared" si="7"/>
        <v>23.936062314901211</v>
      </c>
      <c r="I242">
        <v>86</v>
      </c>
      <c r="J242">
        <v>92</v>
      </c>
      <c r="K242">
        <v>5.62</v>
      </c>
      <c r="L242">
        <v>0</v>
      </c>
      <c r="M242">
        <v>0</v>
      </c>
      <c r="N242">
        <v>0</v>
      </c>
      <c r="O242">
        <v>112</v>
      </c>
      <c r="P242">
        <v>0</v>
      </c>
      <c r="Q242">
        <v>44</v>
      </c>
      <c r="R242">
        <v>23</v>
      </c>
      <c r="S242">
        <v>337</v>
      </c>
      <c r="T242">
        <v>5</v>
      </c>
      <c r="U242">
        <v>7.5</v>
      </c>
      <c r="V242">
        <v>0</v>
      </c>
      <c r="W242">
        <f>LN(O242*J242/2)*I242</f>
        <v>735.05406302944039</v>
      </c>
      <c r="X242">
        <f t="shared" si="23"/>
        <v>24.752185593573635</v>
      </c>
    </row>
    <row r="243" spans="1:24" x14ac:dyDescent="0.2">
      <c r="A243" t="s">
        <v>450</v>
      </c>
      <c r="B243" t="s">
        <v>451</v>
      </c>
      <c r="C243">
        <v>1966</v>
      </c>
      <c r="D243">
        <v>0</v>
      </c>
      <c r="E243">
        <v>1</v>
      </c>
      <c r="F243">
        <v>50</v>
      </c>
      <c r="G243">
        <v>149</v>
      </c>
      <c r="H243">
        <f t="shared" si="7"/>
        <v>22.521508040178372</v>
      </c>
      <c r="I243">
        <v>81</v>
      </c>
      <c r="J243">
        <v>126</v>
      </c>
      <c r="K243">
        <v>6.4</v>
      </c>
      <c r="L243">
        <v>1</v>
      </c>
      <c r="M243">
        <v>1</v>
      </c>
      <c r="N243">
        <v>1</v>
      </c>
      <c r="O243">
        <v>209</v>
      </c>
      <c r="P243">
        <v>0</v>
      </c>
      <c r="Q243">
        <v>48</v>
      </c>
      <c r="R243">
        <v>41</v>
      </c>
      <c r="S243">
        <v>315</v>
      </c>
      <c r="T243">
        <v>6.1</v>
      </c>
      <c r="U243">
        <v>6.5</v>
      </c>
      <c r="V243">
        <v>0</v>
      </c>
      <c r="W243">
        <f>LN(O243*J243/2)*I243</f>
        <v>768.32298724686393</v>
      </c>
      <c r="X243">
        <f t="shared" si="23"/>
        <v>36.264068000065038</v>
      </c>
    </row>
    <row r="244" spans="1:24" x14ac:dyDescent="0.2">
      <c r="A244" t="s">
        <v>452</v>
      </c>
      <c r="B244" t="s">
        <v>453</v>
      </c>
      <c r="C244">
        <v>1980</v>
      </c>
      <c r="D244">
        <v>1</v>
      </c>
      <c r="E244">
        <v>1</v>
      </c>
      <c r="F244">
        <v>65</v>
      </c>
      <c r="G244">
        <v>160</v>
      </c>
      <c r="H244">
        <f t="shared" si="7"/>
        <v>25.390624999999996</v>
      </c>
      <c r="I244">
        <v>82</v>
      </c>
      <c r="J244">
        <v>94</v>
      </c>
      <c r="K244">
        <v>5.5</v>
      </c>
      <c r="L244">
        <v>0</v>
      </c>
      <c r="M244">
        <v>0</v>
      </c>
      <c r="N244">
        <v>0</v>
      </c>
      <c r="O244">
        <v>132</v>
      </c>
      <c r="P244">
        <v>0</v>
      </c>
      <c r="Q244">
        <v>49</v>
      </c>
      <c r="R244">
        <v>22</v>
      </c>
      <c r="S244">
        <v>200</v>
      </c>
      <c r="T244">
        <v>5.4</v>
      </c>
      <c r="U244">
        <v>4.2</v>
      </c>
      <c r="V244">
        <v>0</v>
      </c>
      <c r="W244">
        <f t="shared" ref="W244:W256" si="26">LN(O244*J244/2)*I244</f>
        <v>716.10186099230725</v>
      </c>
      <c r="X244">
        <f t="shared" si="23"/>
        <v>26.952685970148703</v>
      </c>
    </row>
    <row r="245" spans="1:24" x14ac:dyDescent="0.2">
      <c r="A245" t="s">
        <v>454</v>
      </c>
      <c r="B245" t="s">
        <v>455</v>
      </c>
      <c r="C245">
        <v>2000</v>
      </c>
      <c r="D245">
        <v>0</v>
      </c>
      <c r="E245">
        <v>1</v>
      </c>
      <c r="F245">
        <v>65</v>
      </c>
      <c r="G245">
        <v>165</v>
      </c>
      <c r="H245">
        <f t="shared" si="7"/>
        <v>23.875114784205696</v>
      </c>
      <c r="I245">
        <v>80</v>
      </c>
      <c r="J245">
        <v>88</v>
      </c>
      <c r="K245">
        <v>4.87</v>
      </c>
      <c r="L245">
        <v>0</v>
      </c>
      <c r="M245">
        <v>0</v>
      </c>
      <c r="N245">
        <v>0</v>
      </c>
      <c r="O245">
        <v>96</v>
      </c>
      <c r="P245">
        <v>0</v>
      </c>
      <c r="Q245">
        <v>59</v>
      </c>
      <c r="R245">
        <v>79</v>
      </c>
      <c r="S245">
        <v>225</v>
      </c>
      <c r="T245">
        <v>4.8</v>
      </c>
      <c r="U245">
        <v>4.4000000000000004</v>
      </c>
      <c r="V245">
        <v>0</v>
      </c>
      <c r="W245">
        <f t="shared" si="26"/>
        <v>667.88302603088778</v>
      </c>
      <c r="X245">
        <f t="shared" si="23"/>
        <v>33.197372986154072</v>
      </c>
    </row>
    <row r="246" spans="1:24" x14ac:dyDescent="0.2">
      <c r="A246" t="s">
        <v>456</v>
      </c>
      <c r="B246" t="s">
        <v>457</v>
      </c>
      <c r="C246">
        <v>1987</v>
      </c>
      <c r="D246">
        <v>0</v>
      </c>
      <c r="E246">
        <v>1</v>
      </c>
      <c r="F246">
        <v>70</v>
      </c>
      <c r="G246">
        <v>173</v>
      </c>
      <c r="H246">
        <f t="shared" si="7"/>
        <v>23.388686558187711</v>
      </c>
      <c r="I246">
        <v>82</v>
      </c>
      <c r="J246">
        <v>88</v>
      </c>
      <c r="K246">
        <v>5.13</v>
      </c>
      <c r="L246">
        <v>0</v>
      </c>
      <c r="M246">
        <v>0</v>
      </c>
      <c r="N246">
        <v>0</v>
      </c>
      <c r="O246">
        <v>203</v>
      </c>
      <c r="P246">
        <v>0</v>
      </c>
      <c r="Q246">
        <v>47</v>
      </c>
      <c r="R246">
        <v>20</v>
      </c>
      <c r="S246">
        <v>286</v>
      </c>
      <c r="T246">
        <v>5.6</v>
      </c>
      <c r="U246">
        <v>5.6</v>
      </c>
      <c r="V246">
        <v>0</v>
      </c>
      <c r="W246">
        <f t="shared" si="26"/>
        <v>745.98644026272393</v>
      </c>
      <c r="X246">
        <f t="shared" si="23"/>
        <v>28.220474837239507</v>
      </c>
    </row>
    <row r="247" spans="1:24" x14ac:dyDescent="0.2">
      <c r="A247" t="s">
        <v>458</v>
      </c>
      <c r="B247" t="s">
        <v>459</v>
      </c>
      <c r="C247">
        <v>1985</v>
      </c>
      <c r="D247">
        <v>1</v>
      </c>
      <c r="E247">
        <v>1</v>
      </c>
      <c r="F247">
        <v>90</v>
      </c>
      <c r="G247">
        <v>164</v>
      </c>
      <c r="H247">
        <f t="shared" si="7"/>
        <v>33.462224866151104</v>
      </c>
      <c r="I247">
        <v>106</v>
      </c>
      <c r="J247">
        <v>103</v>
      </c>
      <c r="K247">
        <v>5.7</v>
      </c>
      <c r="L247">
        <v>0</v>
      </c>
      <c r="M247">
        <v>0</v>
      </c>
      <c r="N247">
        <v>0</v>
      </c>
      <c r="O247">
        <v>529</v>
      </c>
      <c r="P247">
        <v>0</v>
      </c>
      <c r="Q247">
        <v>39</v>
      </c>
      <c r="R247">
        <v>56</v>
      </c>
      <c r="S247">
        <v>324</v>
      </c>
      <c r="T247">
        <v>4.2</v>
      </c>
      <c r="U247">
        <v>6.9</v>
      </c>
      <c r="V247">
        <v>0</v>
      </c>
      <c r="W247">
        <f t="shared" si="26"/>
        <v>1082.5324453899668</v>
      </c>
      <c r="X247">
        <f t="shared" si="23"/>
        <v>96.741273781615192</v>
      </c>
    </row>
    <row r="248" spans="1:24" x14ac:dyDescent="0.2">
      <c r="A248" t="s">
        <v>460</v>
      </c>
      <c r="B248" t="s">
        <v>461</v>
      </c>
      <c r="C248">
        <v>1987</v>
      </c>
      <c r="D248">
        <v>0</v>
      </c>
      <c r="E248">
        <v>1</v>
      </c>
      <c r="F248">
        <v>57</v>
      </c>
      <c r="G248">
        <v>160</v>
      </c>
      <c r="H248">
        <f t="shared" si="7"/>
        <v>22.265624999999996</v>
      </c>
      <c r="I248">
        <v>78</v>
      </c>
      <c r="J248">
        <v>90</v>
      </c>
      <c r="K248">
        <v>5.8</v>
      </c>
      <c r="L248">
        <v>0</v>
      </c>
      <c r="M248">
        <v>0</v>
      </c>
      <c r="N248">
        <v>0</v>
      </c>
      <c r="O248">
        <v>248</v>
      </c>
      <c r="P248">
        <v>0</v>
      </c>
      <c r="Q248">
        <v>54</v>
      </c>
      <c r="R248">
        <v>25</v>
      </c>
      <c r="S248">
        <v>233</v>
      </c>
      <c r="T248">
        <v>4.5</v>
      </c>
      <c r="U248">
        <v>4.5</v>
      </c>
      <c r="V248">
        <v>0</v>
      </c>
      <c r="W248">
        <f t="shared" si="26"/>
        <v>726.96711640295348</v>
      </c>
      <c r="X248">
        <f t="shared" si="23"/>
        <v>27.875860644210899</v>
      </c>
    </row>
    <row r="249" spans="1:24" x14ac:dyDescent="0.2">
      <c r="A249" t="s">
        <v>462</v>
      </c>
      <c r="B249" t="s">
        <v>463</v>
      </c>
      <c r="C249">
        <v>1963</v>
      </c>
      <c r="D249">
        <v>1</v>
      </c>
      <c r="E249">
        <v>1</v>
      </c>
      <c r="F249">
        <v>79</v>
      </c>
      <c r="G249">
        <v>174</v>
      </c>
      <c r="H249">
        <f t="shared" si="7"/>
        <v>26.09327520147972</v>
      </c>
      <c r="I249">
        <v>99</v>
      </c>
      <c r="J249">
        <v>106</v>
      </c>
      <c r="K249">
        <v>5.82</v>
      </c>
      <c r="L249">
        <v>0</v>
      </c>
      <c r="M249">
        <v>0</v>
      </c>
      <c r="N249">
        <v>1</v>
      </c>
      <c r="O249">
        <v>94</v>
      </c>
      <c r="P249">
        <v>0</v>
      </c>
      <c r="Q249">
        <v>39</v>
      </c>
      <c r="R249">
        <v>27</v>
      </c>
      <c r="S249">
        <v>287</v>
      </c>
      <c r="T249">
        <v>6.8</v>
      </c>
      <c r="U249">
        <v>5.9</v>
      </c>
      <c r="V249">
        <v>0</v>
      </c>
      <c r="W249">
        <f t="shared" si="26"/>
        <v>842.8450828863904</v>
      </c>
      <c r="X249">
        <f t="shared" si="23"/>
        <v>45.639506645294119</v>
      </c>
    </row>
    <row r="250" spans="1:24" x14ac:dyDescent="0.2">
      <c r="A250" t="s">
        <v>464</v>
      </c>
      <c r="B250" t="s">
        <v>465</v>
      </c>
      <c r="C250">
        <v>1999</v>
      </c>
      <c r="D250">
        <v>1</v>
      </c>
      <c r="E250">
        <v>1</v>
      </c>
      <c r="F250">
        <v>76</v>
      </c>
      <c r="G250">
        <v>166</v>
      </c>
      <c r="H250">
        <f t="shared" si="7"/>
        <v>27.580200319349689</v>
      </c>
      <c r="I250">
        <v>90</v>
      </c>
      <c r="J250">
        <v>110</v>
      </c>
      <c r="K250">
        <v>5.52</v>
      </c>
      <c r="L250">
        <v>0</v>
      </c>
      <c r="M250">
        <v>0</v>
      </c>
      <c r="N250">
        <v>0</v>
      </c>
      <c r="O250">
        <v>105</v>
      </c>
      <c r="P250">
        <v>0</v>
      </c>
      <c r="Q250">
        <v>44</v>
      </c>
      <c r="R250">
        <v>51</v>
      </c>
      <c r="S250">
        <v>325</v>
      </c>
      <c r="T250">
        <v>9.8000000000000007</v>
      </c>
      <c r="U250">
        <v>6.9</v>
      </c>
      <c r="V250">
        <v>0</v>
      </c>
      <c r="W250">
        <f t="shared" si="26"/>
        <v>779.5164181850995</v>
      </c>
      <c r="X250">
        <f t="shared" si="23"/>
        <v>52.919746007423456</v>
      </c>
    </row>
    <row r="251" spans="1:24" x14ac:dyDescent="0.2">
      <c r="A251" t="s">
        <v>466</v>
      </c>
      <c r="B251" t="s">
        <v>467</v>
      </c>
      <c r="C251">
        <v>1983</v>
      </c>
      <c r="D251">
        <v>1</v>
      </c>
      <c r="E251">
        <v>1</v>
      </c>
      <c r="F251">
        <v>80</v>
      </c>
      <c r="G251">
        <v>169</v>
      </c>
      <c r="H251">
        <f t="shared" si="7"/>
        <v>28.010223731662059</v>
      </c>
      <c r="I251">
        <v>100</v>
      </c>
      <c r="J251">
        <v>106</v>
      </c>
      <c r="K251">
        <v>6</v>
      </c>
      <c r="L251">
        <v>0</v>
      </c>
      <c r="M251">
        <v>0</v>
      </c>
      <c r="N251">
        <v>1</v>
      </c>
      <c r="O251">
        <v>511</v>
      </c>
      <c r="P251">
        <v>0</v>
      </c>
      <c r="Q251">
        <v>41</v>
      </c>
      <c r="R251">
        <v>66</v>
      </c>
      <c r="S251">
        <v>262</v>
      </c>
      <c r="T251">
        <v>6.8</v>
      </c>
      <c r="U251">
        <v>5.0999999999999996</v>
      </c>
      <c r="V251">
        <v>0</v>
      </c>
      <c r="W251">
        <f t="shared" si="26"/>
        <v>1020.6661503755827</v>
      </c>
      <c r="X251">
        <f t="shared" si="23"/>
        <v>91.681612558959543</v>
      </c>
    </row>
    <row r="252" spans="1:24" hidden="1" x14ac:dyDescent="0.2">
      <c r="A252" t="s">
        <v>468</v>
      </c>
      <c r="B252" t="s">
        <v>469</v>
      </c>
      <c r="C252">
        <v>1980</v>
      </c>
      <c r="D252">
        <v>1</v>
      </c>
      <c r="E252">
        <v>1</v>
      </c>
      <c r="F252">
        <v>76</v>
      </c>
      <c r="G252">
        <v>173</v>
      </c>
      <c r="H252">
        <f t="shared" si="7"/>
        <v>25.393431120318084</v>
      </c>
      <c r="I252">
        <v>91</v>
      </c>
      <c r="J252">
        <v>105</v>
      </c>
      <c r="K252">
        <v>6.05</v>
      </c>
      <c r="L252">
        <v>0</v>
      </c>
      <c r="M252">
        <v>0</v>
      </c>
      <c r="N252">
        <v>0</v>
      </c>
      <c r="O252">
        <v>241</v>
      </c>
      <c r="P252">
        <v>0</v>
      </c>
      <c r="Q252">
        <v>49</v>
      </c>
      <c r="R252">
        <v>91</v>
      </c>
      <c r="S252">
        <v>324</v>
      </c>
      <c r="T252">
        <v>6.3</v>
      </c>
      <c r="U252">
        <v>6.9</v>
      </c>
      <c r="V252">
        <v>1</v>
      </c>
      <c r="W252">
        <f t="shared" si="26"/>
        <v>859.55051938102929</v>
      </c>
      <c r="X252">
        <f t="shared" si="23"/>
        <v>74.526110024032462</v>
      </c>
    </row>
    <row r="253" spans="1:24" x14ac:dyDescent="0.2">
      <c r="A253" t="s">
        <v>470</v>
      </c>
      <c r="B253" t="s">
        <v>471</v>
      </c>
      <c r="C253">
        <v>1980</v>
      </c>
      <c r="D253">
        <v>0</v>
      </c>
      <c r="E253">
        <v>1</v>
      </c>
      <c r="F253">
        <v>69</v>
      </c>
      <c r="G253">
        <v>159</v>
      </c>
      <c r="H253">
        <f t="shared" si="7"/>
        <v>27.29322416043669</v>
      </c>
      <c r="I253">
        <v>88</v>
      </c>
      <c r="J253">
        <v>94</v>
      </c>
      <c r="K253">
        <v>5.81</v>
      </c>
      <c r="L253">
        <v>0</v>
      </c>
      <c r="M253">
        <v>0</v>
      </c>
      <c r="N253">
        <v>0</v>
      </c>
      <c r="O253">
        <v>134</v>
      </c>
      <c r="P253">
        <v>0</v>
      </c>
      <c r="Q253">
        <v>53</v>
      </c>
      <c r="R253">
        <v>30</v>
      </c>
      <c r="S253">
        <v>248</v>
      </c>
      <c r="T253">
        <v>5.6</v>
      </c>
      <c r="U253">
        <v>4.7</v>
      </c>
      <c r="V253">
        <v>0</v>
      </c>
      <c r="W253">
        <f t="shared" si="26"/>
        <v>769.82289134616531</v>
      </c>
      <c r="X253">
        <f t="shared" si="23"/>
        <v>45.573102342811289</v>
      </c>
    </row>
    <row r="254" spans="1:24" x14ac:dyDescent="0.2">
      <c r="A254" t="s">
        <v>472</v>
      </c>
      <c r="B254" t="s">
        <v>473</v>
      </c>
      <c r="C254">
        <v>1977</v>
      </c>
      <c r="D254">
        <v>0</v>
      </c>
      <c r="E254">
        <v>1</v>
      </c>
      <c r="F254">
        <v>70</v>
      </c>
      <c r="G254">
        <v>156</v>
      </c>
      <c r="H254">
        <f t="shared" si="7"/>
        <v>28.763971071663377</v>
      </c>
      <c r="I254">
        <v>96</v>
      </c>
      <c r="J254">
        <v>123</v>
      </c>
      <c r="K254">
        <v>6</v>
      </c>
      <c r="L254">
        <v>0</v>
      </c>
      <c r="M254">
        <v>0</v>
      </c>
      <c r="N254">
        <v>1</v>
      </c>
      <c r="O254">
        <v>178</v>
      </c>
      <c r="P254">
        <v>0</v>
      </c>
      <c r="Q254">
        <v>44</v>
      </c>
      <c r="R254">
        <v>74</v>
      </c>
      <c r="S254">
        <v>315</v>
      </c>
      <c r="T254">
        <v>6.7</v>
      </c>
      <c r="U254">
        <v>6.4</v>
      </c>
      <c r="V254">
        <v>0</v>
      </c>
      <c r="W254">
        <f t="shared" si="26"/>
        <v>892.87878961003753</v>
      </c>
      <c r="X254">
        <f t="shared" si="23"/>
        <v>79.733983029261111</v>
      </c>
    </row>
    <row r="255" spans="1:24" x14ac:dyDescent="0.2">
      <c r="A255" t="s">
        <v>474</v>
      </c>
      <c r="B255" t="s">
        <v>475</v>
      </c>
      <c r="C255">
        <v>1986</v>
      </c>
      <c r="D255">
        <v>1</v>
      </c>
      <c r="E255">
        <v>1</v>
      </c>
      <c r="F255">
        <v>72</v>
      </c>
      <c r="G255">
        <v>167</v>
      </c>
      <c r="H255">
        <f t="shared" si="7"/>
        <v>25.816630212628635</v>
      </c>
      <c r="I255">
        <v>89</v>
      </c>
      <c r="J255">
        <v>103</v>
      </c>
      <c r="K255">
        <v>5.4</v>
      </c>
      <c r="L255">
        <v>0</v>
      </c>
      <c r="M255">
        <v>0</v>
      </c>
      <c r="N255">
        <v>0</v>
      </c>
      <c r="O255">
        <v>143</v>
      </c>
      <c r="P255">
        <v>0</v>
      </c>
      <c r="Q255">
        <v>35</v>
      </c>
      <c r="R255">
        <v>36</v>
      </c>
      <c r="S255">
        <v>213</v>
      </c>
      <c r="T255">
        <v>6.3</v>
      </c>
      <c r="U255">
        <v>4</v>
      </c>
      <c r="V255">
        <v>0</v>
      </c>
      <c r="W255">
        <f t="shared" si="26"/>
        <v>792.49395297573415</v>
      </c>
      <c r="X255">
        <f t="shared" si="23"/>
        <v>46.582067120048897</v>
      </c>
    </row>
    <row r="256" spans="1:24" hidden="1" x14ac:dyDescent="0.2">
      <c r="A256" t="s">
        <v>800</v>
      </c>
      <c r="B256" t="s">
        <v>801</v>
      </c>
      <c r="C256">
        <v>1981</v>
      </c>
      <c r="D256">
        <v>1</v>
      </c>
      <c r="E256">
        <v>1</v>
      </c>
      <c r="F256">
        <v>54</v>
      </c>
      <c r="G256">
        <v>164</v>
      </c>
      <c r="H256">
        <f t="shared" si="7"/>
        <v>20.077334919690664</v>
      </c>
      <c r="I256">
        <v>77</v>
      </c>
      <c r="J256">
        <v>99</v>
      </c>
      <c r="K256">
        <v>5.49</v>
      </c>
      <c r="L256">
        <v>0</v>
      </c>
      <c r="M256">
        <v>0</v>
      </c>
      <c r="N256">
        <v>0</v>
      </c>
      <c r="O256">
        <v>314</v>
      </c>
      <c r="P256">
        <v>0</v>
      </c>
      <c r="Q256">
        <v>50</v>
      </c>
      <c r="R256">
        <v>70</v>
      </c>
      <c r="S256">
        <v>276</v>
      </c>
      <c r="T256">
        <v>5.0999999999999996</v>
      </c>
      <c r="U256">
        <v>5.4</v>
      </c>
      <c r="V256">
        <v>1</v>
      </c>
      <c r="W256">
        <f t="shared" si="26"/>
        <v>743.1551554721832</v>
      </c>
      <c r="X256">
        <f t="shared" si="23"/>
        <v>41.492085273710025</v>
      </c>
    </row>
    <row r="257" spans="1:24" x14ac:dyDescent="0.2">
      <c r="A257" t="s">
        <v>802</v>
      </c>
      <c r="B257" t="s">
        <v>803</v>
      </c>
      <c r="C257">
        <v>1983</v>
      </c>
      <c r="D257">
        <v>0</v>
      </c>
      <c r="E257">
        <v>1</v>
      </c>
      <c r="F257">
        <v>61</v>
      </c>
      <c r="G257">
        <v>152</v>
      </c>
      <c r="H257">
        <f t="shared" si="7"/>
        <v>26.402354570637119</v>
      </c>
      <c r="I257">
        <v>86</v>
      </c>
      <c r="J257">
        <v>90</v>
      </c>
      <c r="K257">
        <v>5.7</v>
      </c>
      <c r="L257">
        <v>0</v>
      </c>
      <c r="M257">
        <v>0</v>
      </c>
      <c r="N257">
        <v>0</v>
      </c>
      <c r="O257">
        <v>104</v>
      </c>
      <c r="P257">
        <v>0</v>
      </c>
      <c r="Q257">
        <v>62</v>
      </c>
      <c r="R257">
        <v>19</v>
      </c>
      <c r="S257">
        <v>201</v>
      </c>
      <c r="T257">
        <v>4.9000000000000004</v>
      </c>
      <c r="U257">
        <v>4.3</v>
      </c>
      <c r="V257">
        <v>0</v>
      </c>
      <c r="W257">
        <f>LN(O257*J257/2)*I257</f>
        <v>726.79059144640553</v>
      </c>
      <c r="X257">
        <f t="shared" si="23"/>
        <v>27.351507354781806</v>
      </c>
    </row>
    <row r="258" spans="1:24" x14ac:dyDescent="0.2">
      <c r="A258" t="s">
        <v>476</v>
      </c>
      <c r="B258" t="s">
        <v>477</v>
      </c>
      <c r="C258">
        <v>1990</v>
      </c>
      <c r="D258">
        <v>0</v>
      </c>
      <c r="E258">
        <v>1</v>
      </c>
      <c r="F258">
        <v>62</v>
      </c>
      <c r="G258">
        <v>161</v>
      </c>
      <c r="H258">
        <f t="shared" si="7"/>
        <v>23.9188302920412</v>
      </c>
      <c r="I258">
        <v>82</v>
      </c>
      <c r="J258">
        <v>86</v>
      </c>
      <c r="K258">
        <v>5.63</v>
      </c>
      <c r="L258">
        <v>0</v>
      </c>
      <c r="M258">
        <v>0</v>
      </c>
      <c r="N258">
        <v>0</v>
      </c>
      <c r="O258">
        <v>78</v>
      </c>
      <c r="P258">
        <v>0</v>
      </c>
      <c r="Q258">
        <v>38</v>
      </c>
      <c r="R258">
        <v>65</v>
      </c>
      <c r="S258">
        <v>237</v>
      </c>
      <c r="T258">
        <v>6.5</v>
      </c>
      <c r="U258">
        <v>4.7</v>
      </c>
      <c r="V258">
        <v>0</v>
      </c>
      <c r="W258">
        <f>LN(O258*J258/2)*I258</f>
        <v>665.66853327541867</v>
      </c>
      <c r="X258">
        <f t="shared" si="23"/>
        <v>28.391397525595728</v>
      </c>
    </row>
    <row r="259" spans="1:24" x14ac:dyDescent="0.2">
      <c r="A259" t="s">
        <v>478</v>
      </c>
      <c r="B259" t="s">
        <v>479</v>
      </c>
      <c r="C259">
        <v>1977</v>
      </c>
      <c r="D259">
        <v>1</v>
      </c>
      <c r="E259">
        <v>1</v>
      </c>
      <c r="F259">
        <v>70</v>
      </c>
      <c r="G259">
        <v>162</v>
      </c>
      <c r="H259">
        <f t="shared" si="7"/>
        <v>26.672763298277697</v>
      </c>
      <c r="I259">
        <v>89</v>
      </c>
      <c r="J259">
        <v>119</v>
      </c>
      <c r="K259">
        <v>5.56</v>
      </c>
      <c r="L259">
        <v>0</v>
      </c>
      <c r="M259">
        <v>0</v>
      </c>
      <c r="N259">
        <v>1</v>
      </c>
      <c r="O259">
        <v>175</v>
      </c>
      <c r="P259">
        <v>0</v>
      </c>
      <c r="Q259">
        <v>49</v>
      </c>
      <c r="R259">
        <v>65</v>
      </c>
      <c r="S259">
        <v>227</v>
      </c>
      <c r="T259">
        <v>9.1999999999999993</v>
      </c>
      <c r="U259">
        <v>4.5</v>
      </c>
      <c r="V259">
        <v>0</v>
      </c>
      <c r="W259">
        <f t="shared" ref="W259:W265" si="27">LN(O259*J259/2)*I259</f>
        <v>823.31784349628367</v>
      </c>
      <c r="X259">
        <f t="shared" si="23"/>
        <v>64.537375069306549</v>
      </c>
    </row>
    <row r="260" spans="1:24" x14ac:dyDescent="0.2">
      <c r="A260" t="s">
        <v>480</v>
      </c>
      <c r="B260" t="s">
        <v>481</v>
      </c>
      <c r="C260">
        <v>1983</v>
      </c>
      <c r="D260">
        <v>1</v>
      </c>
      <c r="E260">
        <v>1</v>
      </c>
      <c r="F260">
        <v>74</v>
      </c>
      <c r="G260">
        <v>175</v>
      </c>
      <c r="H260">
        <f t="shared" si="7"/>
        <v>24.163265306122447</v>
      </c>
      <c r="I260">
        <v>90</v>
      </c>
      <c r="J260">
        <v>94</v>
      </c>
      <c r="K260">
        <v>5.4</v>
      </c>
      <c r="L260">
        <v>0</v>
      </c>
      <c r="M260">
        <v>0</v>
      </c>
      <c r="N260">
        <v>0</v>
      </c>
      <c r="O260">
        <v>258</v>
      </c>
      <c r="P260">
        <v>0</v>
      </c>
      <c r="Q260">
        <v>41</v>
      </c>
      <c r="R260">
        <v>39</v>
      </c>
      <c r="S260">
        <v>221</v>
      </c>
      <c r="T260">
        <v>4.8</v>
      </c>
      <c r="U260">
        <v>4.5999999999999996</v>
      </c>
      <c r="V260">
        <v>0</v>
      </c>
      <c r="W260">
        <f t="shared" si="27"/>
        <v>846.27964679685078</v>
      </c>
      <c r="X260">
        <f t="shared" si="23"/>
        <v>57.593342766200458</v>
      </c>
    </row>
    <row r="261" spans="1:24" hidden="1" x14ac:dyDescent="0.2">
      <c r="A261" t="s">
        <v>804</v>
      </c>
      <c r="B261" t="s">
        <v>805</v>
      </c>
      <c r="C261">
        <v>1973</v>
      </c>
      <c r="D261">
        <v>1</v>
      </c>
      <c r="E261">
        <v>1</v>
      </c>
      <c r="F261">
        <v>68</v>
      </c>
      <c r="G261">
        <v>165</v>
      </c>
      <c r="H261">
        <f t="shared" si="7"/>
        <v>24.977043158861342</v>
      </c>
      <c r="I261">
        <v>89</v>
      </c>
      <c r="J261">
        <v>106</v>
      </c>
      <c r="K261">
        <v>5.3</v>
      </c>
      <c r="L261">
        <v>0</v>
      </c>
      <c r="M261">
        <v>0</v>
      </c>
      <c r="N261">
        <v>0</v>
      </c>
      <c r="O261">
        <v>206</v>
      </c>
      <c r="P261">
        <v>0</v>
      </c>
      <c r="Q261">
        <v>59</v>
      </c>
      <c r="R261">
        <v>77</v>
      </c>
      <c r="S261">
        <v>251</v>
      </c>
      <c r="T261">
        <v>5.7</v>
      </c>
      <c r="U261">
        <v>4.8</v>
      </c>
      <c r="V261">
        <v>1</v>
      </c>
      <c r="W261">
        <f t="shared" si="27"/>
        <v>827.53695932841163</v>
      </c>
      <c r="X261">
        <f t="shared" si="23"/>
        <v>65.478223204491314</v>
      </c>
    </row>
    <row r="262" spans="1:24" hidden="1" x14ac:dyDescent="0.2">
      <c r="A262" t="s">
        <v>806</v>
      </c>
      <c r="B262" t="s">
        <v>807</v>
      </c>
      <c r="C262">
        <v>1982</v>
      </c>
      <c r="D262">
        <v>1</v>
      </c>
      <c r="E262">
        <v>1</v>
      </c>
      <c r="F262">
        <v>66</v>
      </c>
      <c r="G262">
        <v>165</v>
      </c>
      <c r="H262">
        <f t="shared" si="7"/>
        <v>24.242424242424246</v>
      </c>
      <c r="I262">
        <v>86</v>
      </c>
      <c r="J262">
        <v>160</v>
      </c>
      <c r="K262">
        <v>5.2</v>
      </c>
      <c r="L262">
        <v>0</v>
      </c>
      <c r="M262">
        <v>0</v>
      </c>
      <c r="N262">
        <v>0</v>
      </c>
      <c r="O262">
        <v>196</v>
      </c>
      <c r="P262">
        <v>0</v>
      </c>
      <c r="Q262">
        <v>44</v>
      </c>
      <c r="R262">
        <v>86</v>
      </c>
      <c r="S262">
        <v>314</v>
      </c>
      <c r="T262">
        <v>6.3</v>
      </c>
      <c r="U262">
        <v>6.4</v>
      </c>
      <c r="V262">
        <v>1</v>
      </c>
      <c r="W262">
        <f t="shared" si="27"/>
        <v>830.77215127577836</v>
      </c>
      <c r="X262">
        <f t="shared" si="23"/>
        <v>60.131842973796218</v>
      </c>
    </row>
    <row r="263" spans="1:24" x14ac:dyDescent="0.2">
      <c r="A263" t="s">
        <v>482</v>
      </c>
      <c r="B263" t="s">
        <v>483</v>
      </c>
      <c r="C263">
        <v>1981</v>
      </c>
      <c r="D263">
        <v>1</v>
      </c>
      <c r="E263">
        <v>1</v>
      </c>
      <c r="F263">
        <v>62</v>
      </c>
      <c r="G263">
        <v>164</v>
      </c>
      <c r="H263">
        <f t="shared" si="7"/>
        <v>23.051754907792983</v>
      </c>
      <c r="I263">
        <v>84</v>
      </c>
      <c r="J263">
        <v>83</v>
      </c>
      <c r="K263">
        <v>5.07</v>
      </c>
      <c r="L263">
        <v>0</v>
      </c>
      <c r="M263">
        <v>0</v>
      </c>
      <c r="N263">
        <v>0</v>
      </c>
      <c r="O263">
        <v>178</v>
      </c>
      <c r="P263">
        <v>0</v>
      </c>
      <c r="Q263">
        <v>64</v>
      </c>
      <c r="R263">
        <v>79</v>
      </c>
      <c r="S263">
        <v>300</v>
      </c>
      <c r="T263">
        <v>5.3</v>
      </c>
      <c r="U263">
        <v>5.9</v>
      </c>
      <c r="V263">
        <v>0</v>
      </c>
      <c r="W263">
        <f t="shared" si="27"/>
        <v>748.22806611241401</v>
      </c>
      <c r="X263">
        <f t="shared" si="23"/>
        <v>49.667435246393985</v>
      </c>
    </row>
    <row r="264" spans="1:24" x14ac:dyDescent="0.2">
      <c r="A264" t="s">
        <v>484</v>
      </c>
      <c r="B264" t="s">
        <v>485</v>
      </c>
      <c r="C264">
        <v>1971</v>
      </c>
      <c r="D264">
        <v>1</v>
      </c>
      <c r="E264">
        <v>1</v>
      </c>
      <c r="F264">
        <v>69</v>
      </c>
      <c r="G264">
        <v>165</v>
      </c>
      <c r="H264">
        <f t="shared" si="7"/>
        <v>25.344352617079892</v>
      </c>
      <c r="I264">
        <v>91</v>
      </c>
      <c r="J264">
        <v>90</v>
      </c>
      <c r="K264">
        <v>5.0999999999999996</v>
      </c>
      <c r="L264">
        <v>0</v>
      </c>
      <c r="M264">
        <v>0</v>
      </c>
      <c r="N264">
        <v>0</v>
      </c>
      <c r="O264">
        <v>159</v>
      </c>
      <c r="P264">
        <v>0</v>
      </c>
      <c r="Q264">
        <v>59</v>
      </c>
      <c r="R264">
        <v>223</v>
      </c>
      <c r="S264">
        <v>245</v>
      </c>
      <c r="T264">
        <v>8.6999999999999993</v>
      </c>
      <c r="U264">
        <v>4.9000000000000004</v>
      </c>
      <c r="V264">
        <v>0</v>
      </c>
      <c r="W264">
        <f t="shared" si="27"/>
        <v>807.67656897114011</v>
      </c>
      <c r="X264">
        <f t="shared" si="23"/>
        <v>78.816170439747111</v>
      </c>
    </row>
    <row r="265" spans="1:24" x14ac:dyDescent="0.2">
      <c r="A265" t="s">
        <v>486</v>
      </c>
      <c r="B265" t="s">
        <v>487</v>
      </c>
      <c r="C265">
        <v>2000</v>
      </c>
      <c r="D265">
        <v>0</v>
      </c>
      <c r="E265">
        <v>1</v>
      </c>
      <c r="F265">
        <v>56</v>
      </c>
      <c r="G265">
        <v>160</v>
      </c>
      <c r="H265">
        <f t="shared" si="7"/>
        <v>21.874999999999996</v>
      </c>
      <c r="I265">
        <v>75</v>
      </c>
      <c r="J265">
        <v>81</v>
      </c>
      <c r="K265">
        <v>4.79</v>
      </c>
      <c r="L265">
        <v>0</v>
      </c>
      <c r="M265">
        <v>0</v>
      </c>
      <c r="N265">
        <v>0</v>
      </c>
      <c r="O265">
        <v>56</v>
      </c>
      <c r="P265">
        <v>0</v>
      </c>
      <c r="Q265">
        <v>50</v>
      </c>
      <c r="R265">
        <v>17</v>
      </c>
      <c r="S265">
        <v>277</v>
      </c>
      <c r="T265">
        <v>5.6</v>
      </c>
      <c r="U265">
        <v>5.6</v>
      </c>
      <c r="V265">
        <v>0</v>
      </c>
      <c r="W265">
        <f t="shared" si="27"/>
        <v>579.49902486357314</v>
      </c>
      <c r="X265">
        <f t="shared" si="23"/>
        <v>5.4219614481885552</v>
      </c>
    </row>
    <row r="266" spans="1:24" x14ac:dyDescent="0.2">
      <c r="A266" t="s">
        <v>488</v>
      </c>
      <c r="B266" t="s">
        <v>489</v>
      </c>
      <c r="C266">
        <v>1993</v>
      </c>
      <c r="D266">
        <v>1</v>
      </c>
      <c r="E266">
        <v>1</v>
      </c>
      <c r="F266">
        <v>66</v>
      </c>
      <c r="G266">
        <v>166</v>
      </c>
      <c r="H266">
        <f t="shared" si="7"/>
        <v>23.951226593119468</v>
      </c>
      <c r="I266">
        <v>84</v>
      </c>
      <c r="J266">
        <v>79</v>
      </c>
      <c r="K266">
        <v>5.04</v>
      </c>
      <c r="L266">
        <v>0</v>
      </c>
      <c r="M266">
        <v>0</v>
      </c>
      <c r="N266">
        <v>0</v>
      </c>
      <c r="O266">
        <v>248</v>
      </c>
      <c r="P266">
        <v>0</v>
      </c>
      <c r="Q266">
        <v>47</v>
      </c>
      <c r="R266">
        <v>213</v>
      </c>
      <c r="S266">
        <v>277</v>
      </c>
      <c r="T266">
        <v>6.4</v>
      </c>
      <c r="U266">
        <v>5.6</v>
      </c>
      <c r="V266">
        <v>0</v>
      </c>
      <c r="W266">
        <f>LN(O266*J266/2)*I266</f>
        <v>771.93727111805288</v>
      </c>
      <c r="X266">
        <f t="shared" si="23"/>
        <v>75.766602774721136</v>
      </c>
    </row>
    <row r="267" spans="1:24" x14ac:dyDescent="0.2">
      <c r="A267" t="s">
        <v>490</v>
      </c>
      <c r="B267" t="s">
        <v>491</v>
      </c>
      <c r="C267">
        <v>1983</v>
      </c>
      <c r="D267">
        <v>1</v>
      </c>
      <c r="E267">
        <v>1</v>
      </c>
      <c r="F267">
        <v>64</v>
      </c>
      <c r="G267">
        <v>169</v>
      </c>
      <c r="H267">
        <f t="shared" si="7"/>
        <v>22.408178985329648</v>
      </c>
      <c r="I267">
        <v>87</v>
      </c>
      <c r="J267">
        <v>92</v>
      </c>
      <c r="K267">
        <v>5.81</v>
      </c>
      <c r="L267">
        <v>0</v>
      </c>
      <c r="M267">
        <v>0</v>
      </c>
      <c r="N267">
        <v>0</v>
      </c>
      <c r="O267">
        <v>190</v>
      </c>
      <c r="P267">
        <v>0</v>
      </c>
      <c r="Q267">
        <v>41</v>
      </c>
      <c r="R267">
        <v>37</v>
      </c>
      <c r="S267">
        <v>319</v>
      </c>
      <c r="T267">
        <v>6.1</v>
      </c>
      <c r="U267">
        <v>6.6</v>
      </c>
      <c r="V267">
        <v>0</v>
      </c>
      <c r="W267">
        <f>LN(O267*J267/2)*I267</f>
        <v>789.58289577251344</v>
      </c>
      <c r="X267">
        <f t="shared" si="23"/>
        <v>39.503168234561848</v>
      </c>
    </row>
    <row r="268" spans="1:24" x14ac:dyDescent="0.2">
      <c r="A268" t="s">
        <v>492</v>
      </c>
      <c r="B268" t="s">
        <v>493</v>
      </c>
      <c r="C268">
        <v>1983</v>
      </c>
      <c r="D268">
        <v>1</v>
      </c>
      <c r="E268">
        <v>1</v>
      </c>
      <c r="F268">
        <v>78</v>
      </c>
      <c r="G268">
        <v>172</v>
      </c>
      <c r="H268">
        <f t="shared" si="7"/>
        <v>26.365603028664147</v>
      </c>
      <c r="I268">
        <v>91</v>
      </c>
      <c r="J268">
        <v>79</v>
      </c>
      <c r="K268">
        <v>5.71</v>
      </c>
      <c r="L268">
        <v>0</v>
      </c>
      <c r="M268">
        <v>0</v>
      </c>
      <c r="N268">
        <v>0</v>
      </c>
      <c r="O268">
        <v>111</v>
      </c>
      <c r="P268">
        <v>0</v>
      </c>
      <c r="Q268">
        <v>48</v>
      </c>
      <c r="R268">
        <v>57</v>
      </c>
      <c r="S268">
        <v>306</v>
      </c>
      <c r="T268">
        <v>8.1</v>
      </c>
      <c r="U268">
        <v>6.2</v>
      </c>
      <c r="V268">
        <v>0</v>
      </c>
      <c r="W268">
        <f t="shared" ref="W268:W280" si="28">LN(O268*J268/2)*I268</f>
        <v>763.11060946296629</v>
      </c>
      <c r="X268">
        <f t="shared" si="23"/>
        <v>53.342803945927692</v>
      </c>
    </row>
    <row r="269" spans="1:24" x14ac:dyDescent="0.2">
      <c r="A269" t="s">
        <v>494</v>
      </c>
      <c r="B269" t="s">
        <v>495</v>
      </c>
      <c r="C269">
        <v>1993</v>
      </c>
      <c r="D269">
        <v>1</v>
      </c>
      <c r="E269">
        <v>1</v>
      </c>
      <c r="F269">
        <v>78</v>
      </c>
      <c r="G269">
        <v>172</v>
      </c>
      <c r="H269">
        <f t="shared" si="7"/>
        <v>26.365603028664147</v>
      </c>
      <c r="I269">
        <v>91</v>
      </c>
      <c r="J269">
        <v>74</v>
      </c>
      <c r="K269">
        <v>5.45</v>
      </c>
      <c r="L269">
        <v>0</v>
      </c>
      <c r="M269">
        <v>0</v>
      </c>
      <c r="N269">
        <v>0</v>
      </c>
      <c r="O269">
        <v>155</v>
      </c>
      <c r="P269">
        <v>0</v>
      </c>
      <c r="Q269">
        <v>59</v>
      </c>
      <c r="R269">
        <v>31</v>
      </c>
      <c r="S269">
        <v>299</v>
      </c>
      <c r="T269">
        <v>8.8000000000000007</v>
      </c>
      <c r="U269">
        <v>5.9</v>
      </c>
      <c r="V269">
        <v>0</v>
      </c>
      <c r="W269">
        <f t="shared" si="28"/>
        <v>787.54521569027588</v>
      </c>
      <c r="X269">
        <f t="shared" si="23"/>
        <v>50.370137494229766</v>
      </c>
    </row>
    <row r="270" spans="1:24" x14ac:dyDescent="0.2">
      <c r="A270" t="s">
        <v>496</v>
      </c>
      <c r="B270" t="s">
        <v>497</v>
      </c>
      <c r="C270">
        <v>1986</v>
      </c>
      <c r="D270">
        <v>1</v>
      </c>
      <c r="E270">
        <v>1</v>
      </c>
      <c r="F270">
        <v>76</v>
      </c>
      <c r="G270">
        <v>168</v>
      </c>
      <c r="H270">
        <f t="shared" si="7"/>
        <v>26.927437641723358</v>
      </c>
      <c r="I270">
        <v>91</v>
      </c>
      <c r="J270">
        <v>97</v>
      </c>
      <c r="K270">
        <v>5.2</v>
      </c>
      <c r="L270">
        <v>0</v>
      </c>
      <c r="M270">
        <v>0</v>
      </c>
      <c r="N270">
        <v>0</v>
      </c>
      <c r="O270">
        <v>120</v>
      </c>
      <c r="P270">
        <v>0</v>
      </c>
      <c r="Q270">
        <v>49</v>
      </c>
      <c r="R270">
        <v>26</v>
      </c>
      <c r="S270">
        <v>274</v>
      </c>
      <c r="T270">
        <v>6.6</v>
      </c>
      <c r="U270">
        <v>5.3</v>
      </c>
      <c r="V270">
        <v>0</v>
      </c>
      <c r="W270">
        <f t="shared" si="28"/>
        <v>788.88405420601907</v>
      </c>
      <c r="X270">
        <f t="shared" si="23"/>
        <v>43.111750313359224</v>
      </c>
    </row>
    <row r="271" spans="1:24" x14ac:dyDescent="0.2">
      <c r="A271" t="s">
        <v>498</v>
      </c>
      <c r="B271" t="s">
        <v>499</v>
      </c>
      <c r="C271">
        <v>1983</v>
      </c>
      <c r="D271">
        <v>1</v>
      </c>
      <c r="E271">
        <v>1</v>
      </c>
      <c r="F271">
        <v>93</v>
      </c>
      <c r="G271">
        <v>175</v>
      </c>
      <c r="H271">
        <f t="shared" si="7"/>
        <v>30.367346938775512</v>
      </c>
      <c r="I271">
        <v>102</v>
      </c>
      <c r="J271">
        <v>88</v>
      </c>
      <c r="K271">
        <v>6.2</v>
      </c>
      <c r="L271">
        <v>0</v>
      </c>
      <c r="M271">
        <v>0</v>
      </c>
      <c r="N271">
        <v>0</v>
      </c>
      <c r="O271">
        <v>197</v>
      </c>
      <c r="P271">
        <v>0</v>
      </c>
      <c r="Q271">
        <v>41</v>
      </c>
      <c r="R271">
        <v>31</v>
      </c>
      <c r="S271">
        <v>312</v>
      </c>
      <c r="T271">
        <v>11.9</v>
      </c>
      <c r="U271">
        <v>6.3</v>
      </c>
      <c r="V271">
        <v>0</v>
      </c>
      <c r="W271">
        <f t="shared" si="28"/>
        <v>924.87412299093739</v>
      </c>
      <c r="X271">
        <f t="shared" si="23"/>
        <v>79.940138230423372</v>
      </c>
    </row>
    <row r="272" spans="1:24" x14ac:dyDescent="0.2">
      <c r="A272" t="s">
        <v>500</v>
      </c>
      <c r="B272" t="s">
        <v>501</v>
      </c>
      <c r="C272">
        <v>1951</v>
      </c>
      <c r="D272">
        <v>1</v>
      </c>
      <c r="E272">
        <v>1</v>
      </c>
      <c r="F272">
        <v>59</v>
      </c>
      <c r="G272">
        <v>160</v>
      </c>
      <c r="H272">
        <f t="shared" si="7"/>
        <v>23.046874999999996</v>
      </c>
      <c r="I272">
        <v>87</v>
      </c>
      <c r="J272">
        <v>101</v>
      </c>
      <c r="K272">
        <v>6.77</v>
      </c>
      <c r="L272">
        <v>0</v>
      </c>
      <c r="M272">
        <v>0</v>
      </c>
      <c r="N272">
        <v>1</v>
      </c>
      <c r="O272">
        <v>162</v>
      </c>
      <c r="P272">
        <v>0</v>
      </c>
      <c r="Q272">
        <v>40</v>
      </c>
      <c r="R272">
        <v>38</v>
      </c>
      <c r="S272">
        <v>248</v>
      </c>
      <c r="T272">
        <v>6</v>
      </c>
      <c r="U272">
        <v>4.7</v>
      </c>
      <c r="V272">
        <v>0</v>
      </c>
      <c r="W272">
        <f t="shared" si="28"/>
        <v>783.83256142169182</v>
      </c>
      <c r="X272">
        <f t="shared" si="23"/>
        <v>38.456459875007141</v>
      </c>
    </row>
    <row r="273" spans="1:24" x14ac:dyDescent="0.2">
      <c r="A273" t="s">
        <v>502</v>
      </c>
      <c r="B273" t="s">
        <v>503</v>
      </c>
      <c r="C273">
        <v>1984</v>
      </c>
      <c r="D273">
        <v>0</v>
      </c>
      <c r="E273">
        <v>1</v>
      </c>
      <c r="F273">
        <v>52</v>
      </c>
      <c r="G273">
        <v>149</v>
      </c>
      <c r="H273">
        <f t="shared" si="7"/>
        <v>23.422368361785505</v>
      </c>
      <c r="I273">
        <v>77</v>
      </c>
      <c r="J273">
        <v>83</v>
      </c>
      <c r="K273">
        <v>4.8899999999999997</v>
      </c>
      <c r="L273">
        <v>0</v>
      </c>
      <c r="M273">
        <v>0</v>
      </c>
      <c r="N273">
        <v>0</v>
      </c>
      <c r="O273">
        <v>168</v>
      </c>
      <c r="P273">
        <v>0</v>
      </c>
      <c r="Q273">
        <v>42</v>
      </c>
      <c r="R273">
        <v>22</v>
      </c>
      <c r="S273">
        <v>209</v>
      </c>
      <c r="T273">
        <v>6.4</v>
      </c>
      <c r="U273">
        <v>4.0999999999999996</v>
      </c>
      <c r="V273">
        <v>0</v>
      </c>
      <c r="W273">
        <f t="shared" si="28"/>
        <v>681.42362031127323</v>
      </c>
      <c r="X273">
        <f t="shared" si="23"/>
        <v>21.319308063534791</v>
      </c>
    </row>
    <row r="274" spans="1:24" x14ac:dyDescent="0.2">
      <c r="A274" t="s">
        <v>504</v>
      </c>
      <c r="B274" t="s">
        <v>505</v>
      </c>
      <c r="C274">
        <v>1983</v>
      </c>
      <c r="D274">
        <v>1</v>
      </c>
      <c r="E274">
        <v>1</v>
      </c>
      <c r="F274">
        <v>69</v>
      </c>
      <c r="G274">
        <v>161</v>
      </c>
      <c r="H274">
        <f t="shared" si="7"/>
        <v>26.619343389529721</v>
      </c>
      <c r="I274">
        <v>89</v>
      </c>
      <c r="J274">
        <v>88</v>
      </c>
      <c r="K274">
        <v>5.23</v>
      </c>
      <c r="L274">
        <v>0</v>
      </c>
      <c r="M274">
        <v>0</v>
      </c>
      <c r="N274">
        <v>0</v>
      </c>
      <c r="O274">
        <v>257</v>
      </c>
      <c r="P274">
        <v>0</v>
      </c>
      <c r="Q274">
        <v>52</v>
      </c>
      <c r="R274">
        <v>109</v>
      </c>
      <c r="S274">
        <v>246</v>
      </c>
      <c r="T274">
        <v>9.6</v>
      </c>
      <c r="U274">
        <v>4.8</v>
      </c>
      <c r="V274">
        <v>0</v>
      </c>
      <c r="W274">
        <f t="shared" si="28"/>
        <v>830.66064897439981</v>
      </c>
      <c r="X274">
        <f t="shared" si="23"/>
        <v>79.06331360581575</v>
      </c>
    </row>
    <row r="275" spans="1:24" hidden="1" x14ac:dyDescent="0.2">
      <c r="A275" t="s">
        <v>808</v>
      </c>
      <c r="B275" t="s">
        <v>809</v>
      </c>
      <c r="C275">
        <v>1977</v>
      </c>
      <c r="D275">
        <v>1</v>
      </c>
      <c r="E275">
        <v>1</v>
      </c>
      <c r="F275">
        <v>63</v>
      </c>
      <c r="G275">
        <v>166</v>
      </c>
      <c r="H275">
        <f t="shared" si="7"/>
        <v>22.862534475250399</v>
      </c>
      <c r="I275">
        <v>87</v>
      </c>
      <c r="J275">
        <v>97</v>
      </c>
      <c r="K275">
        <v>5.42</v>
      </c>
      <c r="L275">
        <v>0</v>
      </c>
      <c r="M275">
        <v>0</v>
      </c>
      <c r="N275">
        <v>0</v>
      </c>
      <c r="O275">
        <v>319</v>
      </c>
      <c r="P275">
        <v>0</v>
      </c>
      <c r="Q275">
        <v>54</v>
      </c>
      <c r="R275">
        <v>73</v>
      </c>
      <c r="S275">
        <v>251</v>
      </c>
      <c r="T275">
        <v>6</v>
      </c>
      <c r="U275">
        <v>4.9000000000000004</v>
      </c>
      <c r="V275">
        <v>1</v>
      </c>
      <c r="W275">
        <f t="shared" si="28"/>
        <v>839.26767636336058</v>
      </c>
      <c r="X275">
        <f t="shared" ref="X275:X300" si="29">100*EXP(0.953*LN(O275)+0.139*H275+0.718*LN(R275)+0.053*I275-15.745)/(1+EXP(0.953*LN(O275)+0.139*H275+0.718*LN(R275)+0.053*I275-15.745))</f>
        <v>64.991583929369185</v>
      </c>
    </row>
    <row r="276" spans="1:24" x14ac:dyDescent="0.2">
      <c r="A276" t="s">
        <v>506</v>
      </c>
      <c r="B276" t="s">
        <v>507</v>
      </c>
      <c r="C276">
        <v>1957</v>
      </c>
      <c r="D276">
        <v>1</v>
      </c>
      <c r="E276">
        <v>1</v>
      </c>
      <c r="F276">
        <v>69</v>
      </c>
      <c r="G276">
        <v>165</v>
      </c>
      <c r="H276">
        <f t="shared" si="7"/>
        <v>25.344352617079892</v>
      </c>
      <c r="I276">
        <v>97</v>
      </c>
      <c r="J276">
        <v>101</v>
      </c>
      <c r="K276">
        <v>5.6</v>
      </c>
      <c r="L276">
        <v>0</v>
      </c>
      <c r="M276">
        <v>0</v>
      </c>
      <c r="N276">
        <v>0</v>
      </c>
      <c r="O276">
        <v>79</v>
      </c>
      <c r="P276">
        <v>0</v>
      </c>
      <c r="Q276">
        <v>71</v>
      </c>
      <c r="R276">
        <v>96</v>
      </c>
      <c r="S276">
        <v>208</v>
      </c>
      <c r="T276">
        <v>7.9</v>
      </c>
      <c r="U276">
        <v>4.0999999999999996</v>
      </c>
      <c r="V276">
        <v>0</v>
      </c>
      <c r="W276">
        <f t="shared" si="28"/>
        <v>804.26785530858854</v>
      </c>
      <c r="X276">
        <f t="shared" si="29"/>
        <v>58.907694251034897</v>
      </c>
    </row>
    <row r="277" spans="1:24" hidden="1" x14ac:dyDescent="0.2">
      <c r="A277" t="s">
        <v>810</v>
      </c>
      <c r="B277" t="s">
        <v>811</v>
      </c>
      <c r="C277">
        <v>1973</v>
      </c>
      <c r="D277">
        <v>1</v>
      </c>
      <c r="E277">
        <v>1</v>
      </c>
      <c r="F277">
        <v>59</v>
      </c>
      <c r="G277">
        <v>166</v>
      </c>
      <c r="H277">
        <f t="shared" si="7"/>
        <v>21.410944984758313</v>
      </c>
      <c r="I277">
        <v>88</v>
      </c>
      <c r="J277">
        <v>76</v>
      </c>
      <c r="K277">
        <v>5.8</v>
      </c>
      <c r="L277">
        <v>0</v>
      </c>
      <c r="M277">
        <v>0</v>
      </c>
      <c r="N277">
        <v>0</v>
      </c>
      <c r="O277">
        <v>283</v>
      </c>
      <c r="P277">
        <v>0</v>
      </c>
      <c r="Q277">
        <v>54</v>
      </c>
      <c r="R277">
        <v>238</v>
      </c>
      <c r="S277">
        <v>236</v>
      </c>
      <c r="T277">
        <v>8.8000000000000007</v>
      </c>
      <c r="U277">
        <v>4.5999999999999996</v>
      </c>
      <c r="V277">
        <v>1</v>
      </c>
      <c r="W277">
        <f t="shared" si="28"/>
        <v>816.90690904852681</v>
      </c>
      <c r="X277">
        <f t="shared" si="29"/>
        <v>76.929285552036703</v>
      </c>
    </row>
    <row r="278" spans="1:24" x14ac:dyDescent="0.2">
      <c r="A278" t="s">
        <v>508</v>
      </c>
      <c r="B278" t="s">
        <v>509</v>
      </c>
      <c r="C278">
        <v>1983</v>
      </c>
      <c r="D278">
        <v>0</v>
      </c>
      <c r="E278">
        <v>1</v>
      </c>
      <c r="F278">
        <v>75</v>
      </c>
      <c r="G278">
        <v>158</v>
      </c>
      <c r="H278">
        <f t="shared" si="7"/>
        <v>30.043262297708697</v>
      </c>
      <c r="I278">
        <v>91</v>
      </c>
      <c r="J278">
        <v>103</v>
      </c>
      <c r="K278">
        <v>6.02</v>
      </c>
      <c r="L278">
        <v>0</v>
      </c>
      <c r="M278">
        <v>0</v>
      </c>
      <c r="N278">
        <v>0</v>
      </c>
      <c r="O278">
        <v>143</v>
      </c>
      <c r="P278">
        <v>0</v>
      </c>
      <c r="Q278">
        <v>51</v>
      </c>
      <c r="R278">
        <v>90</v>
      </c>
      <c r="S278">
        <v>339</v>
      </c>
      <c r="T278">
        <v>5.9</v>
      </c>
      <c r="U278">
        <v>7.6</v>
      </c>
      <c r="V278">
        <v>0</v>
      </c>
      <c r="W278">
        <f t="shared" si="28"/>
        <v>810.30280585159335</v>
      </c>
      <c r="X278">
        <f t="shared" si="29"/>
        <v>77.108850852977355</v>
      </c>
    </row>
    <row r="279" spans="1:24" x14ac:dyDescent="0.2">
      <c r="A279" t="s">
        <v>510</v>
      </c>
      <c r="B279" t="s">
        <v>511</v>
      </c>
      <c r="C279">
        <v>1992</v>
      </c>
      <c r="D279">
        <v>1</v>
      </c>
      <c r="E279">
        <v>1</v>
      </c>
      <c r="F279">
        <v>65</v>
      </c>
      <c r="G279">
        <v>161</v>
      </c>
      <c r="H279">
        <f t="shared" si="7"/>
        <v>25.076193048107708</v>
      </c>
      <c r="I279">
        <v>83</v>
      </c>
      <c r="J279">
        <v>96</v>
      </c>
      <c r="K279">
        <v>5.17</v>
      </c>
      <c r="L279">
        <v>0</v>
      </c>
      <c r="M279">
        <v>0</v>
      </c>
      <c r="N279">
        <v>0</v>
      </c>
      <c r="O279">
        <v>231</v>
      </c>
      <c r="P279">
        <v>0</v>
      </c>
      <c r="Q279">
        <v>47</v>
      </c>
      <c r="R279">
        <v>77</v>
      </c>
      <c r="S279">
        <v>251</v>
      </c>
      <c r="T279">
        <v>5.8</v>
      </c>
      <c r="U279">
        <v>4.9000000000000004</v>
      </c>
      <c r="V279">
        <v>0</v>
      </c>
      <c r="W279">
        <f t="shared" si="28"/>
        <v>773.03035387866373</v>
      </c>
      <c r="X279">
        <f t="shared" si="29"/>
        <v>60.946577962464715</v>
      </c>
    </row>
    <row r="280" spans="1:24" x14ac:dyDescent="0.2">
      <c r="A280" t="s">
        <v>512</v>
      </c>
      <c r="B280" t="s">
        <v>513</v>
      </c>
      <c r="C280">
        <v>1973</v>
      </c>
      <c r="D280">
        <v>1</v>
      </c>
      <c r="E280">
        <v>1</v>
      </c>
      <c r="F280">
        <v>60</v>
      </c>
      <c r="G280">
        <v>165</v>
      </c>
      <c r="H280">
        <f t="shared" si="7"/>
        <v>22.03856749311295</v>
      </c>
      <c r="I280">
        <v>83</v>
      </c>
      <c r="J280">
        <v>315</v>
      </c>
      <c r="K280">
        <v>9.5</v>
      </c>
      <c r="L280">
        <v>1</v>
      </c>
      <c r="M280">
        <v>0</v>
      </c>
      <c r="N280">
        <v>0</v>
      </c>
      <c r="O280">
        <v>380</v>
      </c>
      <c r="P280">
        <v>1</v>
      </c>
      <c r="Q280">
        <v>46</v>
      </c>
      <c r="R280">
        <v>27</v>
      </c>
      <c r="S280">
        <v>280</v>
      </c>
      <c r="T280">
        <v>6.7</v>
      </c>
      <c r="U280">
        <v>5.6</v>
      </c>
      <c r="V280">
        <v>0</v>
      </c>
      <c r="W280">
        <f t="shared" si="28"/>
        <v>912.9665270118478</v>
      </c>
      <c r="X280">
        <f t="shared" si="29"/>
        <v>43.653293865197071</v>
      </c>
    </row>
    <row r="281" spans="1:24" x14ac:dyDescent="0.2">
      <c r="A281" t="s">
        <v>514</v>
      </c>
      <c r="B281" t="s">
        <v>515</v>
      </c>
      <c r="C281">
        <v>1967</v>
      </c>
      <c r="D281">
        <v>1</v>
      </c>
      <c r="E281">
        <v>1</v>
      </c>
      <c r="F281">
        <v>75</v>
      </c>
      <c r="G281">
        <v>165</v>
      </c>
      <c r="H281">
        <f t="shared" si="7"/>
        <v>27.548209366391188</v>
      </c>
      <c r="I281">
        <v>95</v>
      </c>
      <c r="J281">
        <v>106</v>
      </c>
      <c r="K281">
        <v>5.9</v>
      </c>
      <c r="L281">
        <v>0</v>
      </c>
      <c r="M281">
        <v>0</v>
      </c>
      <c r="N281">
        <v>0</v>
      </c>
      <c r="O281">
        <v>370</v>
      </c>
      <c r="P281">
        <v>0</v>
      </c>
      <c r="Q281">
        <v>41</v>
      </c>
      <c r="R281">
        <v>39</v>
      </c>
      <c r="S281">
        <v>254</v>
      </c>
      <c r="T281">
        <v>5.9</v>
      </c>
      <c r="U281">
        <v>4.9000000000000004</v>
      </c>
      <c r="V281">
        <v>0</v>
      </c>
      <c r="W281">
        <f>LN(O281*J281/2)*I281</f>
        <v>938.96051732308717</v>
      </c>
      <c r="X281">
        <f t="shared" si="29"/>
        <v>79.982592195371225</v>
      </c>
    </row>
    <row r="282" spans="1:24" hidden="1" x14ac:dyDescent="0.2">
      <c r="A282" t="s">
        <v>812</v>
      </c>
      <c r="B282" t="s">
        <v>813</v>
      </c>
      <c r="C282">
        <v>1993</v>
      </c>
      <c r="D282">
        <v>1</v>
      </c>
      <c r="E282">
        <v>1</v>
      </c>
      <c r="F282">
        <v>70</v>
      </c>
      <c r="G282">
        <v>168</v>
      </c>
      <c r="H282">
        <f t="shared" si="7"/>
        <v>24.801587301587304</v>
      </c>
      <c r="I282">
        <v>94</v>
      </c>
      <c r="J282">
        <v>130</v>
      </c>
      <c r="K282">
        <v>6.61</v>
      </c>
      <c r="L282">
        <v>0</v>
      </c>
      <c r="M282">
        <v>0</v>
      </c>
      <c r="N282">
        <v>0</v>
      </c>
      <c r="O282">
        <v>242</v>
      </c>
      <c r="P282">
        <v>0</v>
      </c>
      <c r="Q282">
        <v>44</v>
      </c>
      <c r="R282">
        <v>233</v>
      </c>
      <c r="S282">
        <v>368</v>
      </c>
      <c r="T282">
        <v>6.9</v>
      </c>
      <c r="U282">
        <v>8.1999999999999993</v>
      </c>
      <c r="V282">
        <v>1</v>
      </c>
      <c r="W282">
        <f t="shared" ref="W282:W287" si="30">LN(O282*J282/2)*I282</f>
        <v>908.35254962891838</v>
      </c>
      <c r="X282">
        <f t="shared" si="29"/>
        <v>86.166924498924871</v>
      </c>
    </row>
    <row r="283" spans="1:24" x14ac:dyDescent="0.2">
      <c r="A283" t="s">
        <v>516</v>
      </c>
      <c r="B283" t="s">
        <v>517</v>
      </c>
      <c r="C283">
        <v>1995</v>
      </c>
      <c r="D283">
        <v>1</v>
      </c>
      <c r="E283">
        <v>1</v>
      </c>
      <c r="F283">
        <v>85</v>
      </c>
      <c r="G283">
        <v>173</v>
      </c>
      <c r="H283">
        <f t="shared" si="7"/>
        <v>28.400547963513649</v>
      </c>
      <c r="I283">
        <v>94</v>
      </c>
      <c r="J283">
        <v>101</v>
      </c>
      <c r="K283">
        <v>5.4</v>
      </c>
      <c r="L283">
        <v>0</v>
      </c>
      <c r="M283">
        <v>0</v>
      </c>
      <c r="N283">
        <v>0</v>
      </c>
      <c r="O283">
        <v>170</v>
      </c>
      <c r="P283">
        <v>0</v>
      </c>
      <c r="Q283">
        <v>51</v>
      </c>
      <c r="R283">
        <v>48</v>
      </c>
      <c r="S283">
        <v>295</v>
      </c>
      <c r="T283">
        <v>6.9</v>
      </c>
      <c r="U283">
        <v>5.9</v>
      </c>
      <c r="V283">
        <v>0</v>
      </c>
      <c r="W283">
        <f t="shared" si="30"/>
        <v>851.43054669316814</v>
      </c>
      <c r="X283">
        <f t="shared" si="29"/>
        <v>70.237108221034603</v>
      </c>
    </row>
    <row r="284" spans="1:24" x14ac:dyDescent="0.2">
      <c r="A284" t="s">
        <v>518</v>
      </c>
      <c r="B284" t="s">
        <v>519</v>
      </c>
      <c r="C284">
        <v>1980</v>
      </c>
      <c r="D284">
        <v>1</v>
      </c>
      <c r="E284">
        <v>1</v>
      </c>
      <c r="F284">
        <v>79</v>
      </c>
      <c r="G284">
        <v>175</v>
      </c>
      <c r="H284">
        <f t="shared" si="7"/>
        <v>25.795918367346939</v>
      </c>
      <c r="I284">
        <v>90</v>
      </c>
      <c r="J284">
        <v>103</v>
      </c>
      <c r="K284">
        <v>5.61</v>
      </c>
      <c r="L284">
        <v>0</v>
      </c>
      <c r="M284">
        <v>0</v>
      </c>
      <c r="N284">
        <v>0</v>
      </c>
      <c r="O284">
        <v>278</v>
      </c>
      <c r="P284">
        <v>0</v>
      </c>
      <c r="Q284">
        <v>42</v>
      </c>
      <c r="R284">
        <v>38</v>
      </c>
      <c r="S284">
        <v>304</v>
      </c>
      <c r="T284">
        <v>7.9</v>
      </c>
      <c r="U284">
        <v>6.2</v>
      </c>
      <c r="V284">
        <v>0</v>
      </c>
      <c r="W284">
        <f t="shared" si="30"/>
        <v>861.22826292242951</v>
      </c>
      <c r="X284">
        <f t="shared" si="29"/>
        <v>64.234172144233028</v>
      </c>
    </row>
    <row r="285" spans="1:24" x14ac:dyDescent="0.2">
      <c r="A285" t="s">
        <v>520</v>
      </c>
      <c r="B285" t="s">
        <v>521</v>
      </c>
      <c r="C285">
        <v>1975</v>
      </c>
      <c r="D285">
        <v>1</v>
      </c>
      <c r="E285">
        <v>1</v>
      </c>
      <c r="F285">
        <v>57</v>
      </c>
      <c r="G285">
        <v>154</v>
      </c>
      <c r="H285">
        <f t="shared" si="7"/>
        <v>24.034407151290267</v>
      </c>
      <c r="I285">
        <v>79</v>
      </c>
      <c r="J285">
        <v>105</v>
      </c>
      <c r="K285">
        <v>5.42</v>
      </c>
      <c r="L285">
        <v>0</v>
      </c>
      <c r="M285">
        <v>0</v>
      </c>
      <c r="N285">
        <v>0</v>
      </c>
      <c r="O285">
        <v>161</v>
      </c>
      <c r="P285">
        <v>0</v>
      </c>
      <c r="Q285">
        <v>86</v>
      </c>
      <c r="R285">
        <v>33</v>
      </c>
      <c r="S285">
        <v>247</v>
      </c>
      <c r="T285">
        <v>6.5</v>
      </c>
      <c r="U285">
        <v>4.8</v>
      </c>
      <c r="V285">
        <v>0</v>
      </c>
      <c r="W285">
        <f t="shared" si="30"/>
        <v>714.33518523198131</v>
      </c>
      <c r="X285">
        <f t="shared" si="29"/>
        <v>29.647372719183856</v>
      </c>
    </row>
    <row r="286" spans="1:24" x14ac:dyDescent="0.2">
      <c r="A286" t="s">
        <v>522</v>
      </c>
      <c r="B286" t="s">
        <v>523</v>
      </c>
      <c r="C286">
        <v>1993</v>
      </c>
      <c r="D286">
        <v>1</v>
      </c>
      <c r="E286">
        <v>1</v>
      </c>
      <c r="F286">
        <v>78</v>
      </c>
      <c r="G286">
        <v>173</v>
      </c>
      <c r="H286">
        <f t="shared" si="7"/>
        <v>26.061679307694877</v>
      </c>
      <c r="I286">
        <v>92</v>
      </c>
      <c r="J286">
        <v>101</v>
      </c>
      <c r="K286">
        <v>5.0999999999999996</v>
      </c>
      <c r="L286">
        <v>0</v>
      </c>
      <c r="M286">
        <v>0</v>
      </c>
      <c r="N286">
        <v>0</v>
      </c>
      <c r="O286">
        <v>312</v>
      </c>
      <c r="P286">
        <v>0</v>
      </c>
      <c r="Q286">
        <v>38</v>
      </c>
      <c r="R286">
        <v>139</v>
      </c>
      <c r="S286">
        <v>258</v>
      </c>
      <c r="T286">
        <v>6.3</v>
      </c>
      <c r="U286">
        <v>5.0999999999999996</v>
      </c>
      <c r="V286">
        <v>0</v>
      </c>
      <c r="W286">
        <f t="shared" si="30"/>
        <v>889.17784021635327</v>
      </c>
      <c r="X286">
        <f t="shared" si="29"/>
        <v>85.440888363495233</v>
      </c>
    </row>
    <row r="287" spans="1:24" hidden="1" x14ac:dyDescent="0.2">
      <c r="A287" t="s">
        <v>814</v>
      </c>
      <c r="B287" t="s">
        <v>815</v>
      </c>
      <c r="C287">
        <v>1994</v>
      </c>
      <c r="D287">
        <v>1</v>
      </c>
      <c r="E287">
        <v>1</v>
      </c>
      <c r="F287">
        <v>72</v>
      </c>
      <c r="G287">
        <v>164</v>
      </c>
      <c r="H287">
        <f t="shared" si="7"/>
        <v>26.769779892920884</v>
      </c>
      <c r="I287">
        <v>87</v>
      </c>
      <c r="J287">
        <v>96</v>
      </c>
      <c r="K287">
        <v>5.14</v>
      </c>
      <c r="L287">
        <v>0</v>
      </c>
      <c r="M287">
        <v>0</v>
      </c>
      <c r="N287">
        <v>0</v>
      </c>
      <c r="O287">
        <v>195</v>
      </c>
      <c r="P287">
        <v>0</v>
      </c>
      <c r="Q287">
        <v>46</v>
      </c>
      <c r="R287">
        <v>66</v>
      </c>
      <c r="S287">
        <v>230</v>
      </c>
      <c r="T287">
        <v>6.5</v>
      </c>
      <c r="U287">
        <v>4.7</v>
      </c>
      <c r="V287">
        <v>1</v>
      </c>
      <c r="W287">
        <f t="shared" si="30"/>
        <v>795.54544954403241</v>
      </c>
      <c r="X287">
        <f t="shared" si="29"/>
        <v>65.02958926012127</v>
      </c>
    </row>
    <row r="288" spans="1:24" x14ac:dyDescent="0.2">
      <c r="A288" t="s">
        <v>259</v>
      </c>
      <c r="B288" t="s">
        <v>260</v>
      </c>
      <c r="C288">
        <v>1996</v>
      </c>
      <c r="D288">
        <v>0</v>
      </c>
      <c r="E288">
        <v>1</v>
      </c>
      <c r="F288">
        <v>60</v>
      </c>
      <c r="G288">
        <v>154</v>
      </c>
      <c r="H288">
        <f t="shared" si="7"/>
        <v>25.299375948726599</v>
      </c>
      <c r="I288">
        <v>82</v>
      </c>
      <c r="J288">
        <v>92</v>
      </c>
      <c r="K288">
        <v>5.3</v>
      </c>
      <c r="L288">
        <v>0</v>
      </c>
      <c r="M288">
        <v>0</v>
      </c>
      <c r="N288">
        <v>0</v>
      </c>
      <c r="O288">
        <v>372</v>
      </c>
      <c r="P288">
        <v>0</v>
      </c>
      <c r="Q288">
        <v>38</v>
      </c>
      <c r="R288">
        <v>43</v>
      </c>
      <c r="S288">
        <v>325</v>
      </c>
      <c r="T288">
        <v>5.5</v>
      </c>
      <c r="U288">
        <v>6.9</v>
      </c>
      <c r="V288">
        <v>0</v>
      </c>
      <c r="W288">
        <f>LN(O288*J288/2)*I288</f>
        <v>799.29789056250388</v>
      </c>
      <c r="X288">
        <f t="shared" si="29"/>
        <v>61.274388744647666</v>
      </c>
    </row>
    <row r="289" spans="1:24" hidden="1" x14ac:dyDescent="0.2">
      <c r="A289" t="s">
        <v>816</v>
      </c>
      <c r="B289" t="s">
        <v>817</v>
      </c>
      <c r="C289">
        <v>1977</v>
      </c>
      <c r="D289">
        <v>1</v>
      </c>
      <c r="E289">
        <v>1</v>
      </c>
      <c r="F289">
        <v>57</v>
      </c>
      <c r="G289">
        <v>161</v>
      </c>
      <c r="H289">
        <f t="shared" si="7"/>
        <v>21.989892365263682</v>
      </c>
      <c r="I289">
        <v>83</v>
      </c>
      <c r="L289">
        <v>0</v>
      </c>
      <c r="N289">
        <v>1</v>
      </c>
      <c r="P289">
        <v>0</v>
      </c>
      <c r="S289">
        <v>278</v>
      </c>
      <c r="T289">
        <v>6.4</v>
      </c>
      <c r="U289">
        <v>5.6</v>
      </c>
      <c r="V289">
        <v>1</v>
      </c>
    </row>
    <row r="290" spans="1:24" x14ac:dyDescent="0.2">
      <c r="A290" t="s">
        <v>318</v>
      </c>
      <c r="B290" t="s">
        <v>319</v>
      </c>
      <c r="C290">
        <v>1998</v>
      </c>
      <c r="D290">
        <v>1</v>
      </c>
      <c r="E290">
        <v>1</v>
      </c>
      <c r="F290">
        <v>76</v>
      </c>
      <c r="G290">
        <v>172</v>
      </c>
      <c r="H290">
        <f t="shared" si="7"/>
        <v>25.689561925365066</v>
      </c>
      <c r="I290">
        <v>82</v>
      </c>
      <c r="J290">
        <v>79</v>
      </c>
      <c r="K290">
        <v>4.9000000000000004</v>
      </c>
      <c r="L290">
        <v>0</v>
      </c>
      <c r="M290">
        <v>0</v>
      </c>
      <c r="N290">
        <v>0</v>
      </c>
      <c r="O290">
        <v>58</v>
      </c>
      <c r="P290">
        <v>0</v>
      </c>
      <c r="Q290">
        <v>54</v>
      </c>
      <c r="R290">
        <v>29</v>
      </c>
      <c r="S290">
        <v>331</v>
      </c>
      <c r="T290">
        <v>7.2</v>
      </c>
      <c r="U290">
        <v>7.4</v>
      </c>
      <c r="V290">
        <v>0</v>
      </c>
      <c r="W290">
        <f t="shared" ref="W290:W302" si="31">LN(O290*J290/2)*I290</f>
        <v>634.41298196118657</v>
      </c>
      <c r="X290">
        <f t="shared" si="29"/>
        <v>17.641460638759028</v>
      </c>
    </row>
    <row r="291" spans="1:24" x14ac:dyDescent="0.2">
      <c r="A291" t="s">
        <v>524</v>
      </c>
      <c r="B291" t="s">
        <v>525</v>
      </c>
      <c r="C291">
        <v>1976</v>
      </c>
      <c r="D291">
        <v>1</v>
      </c>
      <c r="E291">
        <v>1</v>
      </c>
      <c r="F291">
        <v>76</v>
      </c>
      <c r="G291">
        <v>161</v>
      </c>
      <c r="H291">
        <f t="shared" si="7"/>
        <v>29.319856487018246</v>
      </c>
      <c r="I291">
        <v>96</v>
      </c>
      <c r="J291">
        <v>90</v>
      </c>
      <c r="K291">
        <v>5.3</v>
      </c>
      <c r="L291">
        <v>0</v>
      </c>
      <c r="M291">
        <v>0</v>
      </c>
      <c r="N291">
        <v>0</v>
      </c>
      <c r="O291">
        <v>105</v>
      </c>
      <c r="P291">
        <v>0</v>
      </c>
      <c r="Q291">
        <v>53</v>
      </c>
      <c r="R291">
        <v>34</v>
      </c>
      <c r="S291">
        <v>219</v>
      </c>
      <c r="T291">
        <v>6.2</v>
      </c>
      <c r="U291">
        <v>4.2</v>
      </c>
      <c r="V291">
        <v>0</v>
      </c>
      <c r="W291">
        <f t="shared" si="31"/>
        <v>812.21979263307298</v>
      </c>
      <c r="X291">
        <f t="shared" si="29"/>
        <v>59.522572133102166</v>
      </c>
    </row>
    <row r="292" spans="1:24" x14ac:dyDescent="0.2">
      <c r="A292" t="s">
        <v>526</v>
      </c>
      <c r="B292" t="s">
        <v>527</v>
      </c>
      <c r="C292">
        <v>1993</v>
      </c>
      <c r="D292">
        <v>1</v>
      </c>
      <c r="E292">
        <v>1</v>
      </c>
      <c r="F292">
        <v>83</v>
      </c>
      <c r="G292">
        <v>177</v>
      </c>
      <c r="H292">
        <f t="shared" si="7"/>
        <v>26.493025631204315</v>
      </c>
      <c r="I292">
        <v>100</v>
      </c>
      <c r="J292">
        <v>86</v>
      </c>
      <c r="K292">
        <v>5.8</v>
      </c>
      <c r="L292">
        <v>0</v>
      </c>
      <c r="M292">
        <v>0</v>
      </c>
      <c r="N292">
        <v>0</v>
      </c>
      <c r="O292">
        <v>104</v>
      </c>
      <c r="P292">
        <v>0</v>
      </c>
      <c r="Q292">
        <v>39</v>
      </c>
      <c r="R292">
        <v>99</v>
      </c>
      <c r="S292">
        <v>331</v>
      </c>
      <c r="T292">
        <v>6</v>
      </c>
      <c r="U292">
        <v>7.3</v>
      </c>
      <c r="V292">
        <v>0</v>
      </c>
      <c r="W292">
        <f t="shared" si="31"/>
        <v>840.55910148349346</v>
      </c>
      <c r="X292">
        <f t="shared" si="29"/>
        <v>72.370828461052142</v>
      </c>
    </row>
    <row r="293" spans="1:24" x14ac:dyDescent="0.2">
      <c r="A293" t="s">
        <v>528</v>
      </c>
      <c r="B293" t="s">
        <v>529</v>
      </c>
      <c r="C293">
        <v>1983</v>
      </c>
      <c r="D293">
        <v>1</v>
      </c>
      <c r="E293">
        <v>1</v>
      </c>
      <c r="F293">
        <v>80</v>
      </c>
      <c r="G293">
        <v>176</v>
      </c>
      <c r="H293">
        <f t="shared" si="7"/>
        <v>25.826446280991735</v>
      </c>
      <c r="I293">
        <v>93</v>
      </c>
      <c r="J293">
        <v>96</v>
      </c>
      <c r="K293">
        <v>6.07</v>
      </c>
      <c r="L293">
        <v>0</v>
      </c>
      <c r="M293">
        <v>0</v>
      </c>
      <c r="N293">
        <v>0</v>
      </c>
      <c r="O293">
        <v>412</v>
      </c>
      <c r="P293">
        <v>0</v>
      </c>
      <c r="Q293">
        <v>36</v>
      </c>
      <c r="R293">
        <v>32</v>
      </c>
      <c r="S293">
        <v>252</v>
      </c>
      <c r="T293">
        <v>4.9000000000000004</v>
      </c>
      <c r="U293">
        <v>4.9000000000000004</v>
      </c>
      <c r="V293">
        <v>0</v>
      </c>
      <c r="W293">
        <f t="shared" si="31"/>
        <v>919.97686550393985</v>
      </c>
      <c r="X293">
        <f t="shared" si="29"/>
        <v>73.111945775364006</v>
      </c>
    </row>
    <row r="294" spans="1:24" x14ac:dyDescent="0.2">
      <c r="A294" t="s">
        <v>530</v>
      </c>
      <c r="B294" t="s">
        <v>531</v>
      </c>
      <c r="C294">
        <v>1977</v>
      </c>
      <c r="D294">
        <v>1</v>
      </c>
      <c r="E294">
        <v>1</v>
      </c>
      <c r="F294">
        <v>78</v>
      </c>
      <c r="G294">
        <v>169</v>
      </c>
      <c r="H294">
        <f t="shared" si="7"/>
        <v>27.309968138370508</v>
      </c>
      <c r="I294">
        <v>89</v>
      </c>
      <c r="J294">
        <v>106</v>
      </c>
      <c r="K294">
        <v>5.6</v>
      </c>
      <c r="L294">
        <v>0</v>
      </c>
      <c r="M294">
        <v>0</v>
      </c>
      <c r="N294">
        <v>0</v>
      </c>
      <c r="O294">
        <v>150</v>
      </c>
      <c r="P294">
        <v>0</v>
      </c>
      <c r="Q294">
        <v>48</v>
      </c>
      <c r="R294">
        <v>26</v>
      </c>
      <c r="S294">
        <v>260</v>
      </c>
      <c r="T294">
        <v>4.5999999999999996</v>
      </c>
      <c r="U294">
        <v>5</v>
      </c>
      <c r="V294">
        <v>0</v>
      </c>
      <c r="W294">
        <f t="shared" si="31"/>
        <v>799.30252148070565</v>
      </c>
      <c r="X294">
        <f t="shared" si="29"/>
        <v>47.066730061739882</v>
      </c>
    </row>
    <row r="295" spans="1:24" x14ac:dyDescent="0.2">
      <c r="A295" t="s">
        <v>532</v>
      </c>
      <c r="B295" t="s">
        <v>533</v>
      </c>
      <c r="C295">
        <v>1997</v>
      </c>
      <c r="D295">
        <v>1</v>
      </c>
      <c r="E295">
        <v>1</v>
      </c>
      <c r="F295">
        <v>71</v>
      </c>
      <c r="G295">
        <v>172</v>
      </c>
      <c r="H295">
        <f t="shared" si="7"/>
        <v>23.999459167117362</v>
      </c>
      <c r="I295">
        <v>85</v>
      </c>
      <c r="J295">
        <v>90</v>
      </c>
      <c r="K295">
        <v>5.04</v>
      </c>
      <c r="L295">
        <v>0</v>
      </c>
      <c r="M295">
        <v>0</v>
      </c>
      <c r="N295">
        <v>0</v>
      </c>
      <c r="O295">
        <v>240</v>
      </c>
      <c r="P295">
        <v>0</v>
      </c>
      <c r="Q295">
        <v>49</v>
      </c>
      <c r="R295">
        <v>45</v>
      </c>
      <c r="S295">
        <v>282</v>
      </c>
      <c r="T295">
        <v>6.5</v>
      </c>
      <c r="U295">
        <v>5.7</v>
      </c>
      <c r="V295">
        <v>0</v>
      </c>
      <c r="W295">
        <f t="shared" si="31"/>
        <v>789.42062011454652</v>
      </c>
      <c r="X295">
        <f t="shared" si="29"/>
        <v>51.303639124913687</v>
      </c>
    </row>
    <row r="296" spans="1:24" x14ac:dyDescent="0.2">
      <c r="A296" t="s">
        <v>534</v>
      </c>
      <c r="B296" t="s">
        <v>535</v>
      </c>
      <c r="C296">
        <v>1968</v>
      </c>
      <c r="D296">
        <v>0</v>
      </c>
      <c r="E296">
        <v>1</v>
      </c>
      <c r="F296">
        <v>63</v>
      </c>
      <c r="G296">
        <v>153</v>
      </c>
      <c r="H296">
        <f t="shared" si="7"/>
        <v>26.91272587466359</v>
      </c>
      <c r="I296">
        <v>94</v>
      </c>
      <c r="J296">
        <v>90</v>
      </c>
      <c r="K296">
        <v>5.67</v>
      </c>
      <c r="L296">
        <v>0</v>
      </c>
      <c r="M296">
        <v>0</v>
      </c>
      <c r="N296">
        <v>0</v>
      </c>
      <c r="O296">
        <v>143</v>
      </c>
      <c r="P296">
        <v>0</v>
      </c>
      <c r="Q296">
        <v>63</v>
      </c>
      <c r="R296">
        <v>34</v>
      </c>
      <c r="S296">
        <v>279</v>
      </c>
      <c r="T296">
        <v>5.2</v>
      </c>
      <c r="U296">
        <v>5.4</v>
      </c>
      <c r="V296">
        <v>0</v>
      </c>
      <c r="W296">
        <f t="shared" si="31"/>
        <v>824.33366928284136</v>
      </c>
      <c r="X296">
        <f t="shared" si="29"/>
        <v>55.956250211534929</v>
      </c>
    </row>
    <row r="297" spans="1:24" x14ac:dyDescent="0.2">
      <c r="A297" t="s">
        <v>536</v>
      </c>
      <c r="B297" t="s">
        <v>537</v>
      </c>
      <c r="C297">
        <v>1991</v>
      </c>
      <c r="D297">
        <v>1</v>
      </c>
      <c r="E297">
        <v>1</v>
      </c>
      <c r="F297">
        <v>61</v>
      </c>
      <c r="G297">
        <v>169</v>
      </c>
      <c r="H297">
        <f t="shared" si="7"/>
        <v>21.357795595392322</v>
      </c>
      <c r="I297">
        <v>79</v>
      </c>
      <c r="J297">
        <v>83</v>
      </c>
      <c r="K297">
        <v>5</v>
      </c>
      <c r="L297">
        <v>0</v>
      </c>
      <c r="M297">
        <v>0</v>
      </c>
      <c r="N297">
        <v>0</v>
      </c>
      <c r="O297">
        <v>105</v>
      </c>
      <c r="P297">
        <v>0</v>
      </c>
      <c r="Q297">
        <v>45</v>
      </c>
      <c r="R297">
        <v>25</v>
      </c>
      <c r="S297">
        <v>257</v>
      </c>
      <c r="T297">
        <v>6.9</v>
      </c>
      <c r="U297">
        <v>5.2</v>
      </c>
      <c r="V297">
        <v>0</v>
      </c>
      <c r="W297">
        <f t="shared" si="31"/>
        <v>661.99264841413992</v>
      </c>
      <c r="X297">
        <f t="shared" si="29"/>
        <v>13.670993172365568</v>
      </c>
    </row>
    <row r="298" spans="1:24" x14ac:dyDescent="0.2">
      <c r="A298" t="s">
        <v>320</v>
      </c>
      <c r="B298" t="s">
        <v>321</v>
      </c>
      <c r="C298">
        <v>1991</v>
      </c>
      <c r="D298">
        <v>0</v>
      </c>
      <c r="E298">
        <v>1</v>
      </c>
      <c r="F298">
        <v>67</v>
      </c>
      <c r="G298">
        <v>150</v>
      </c>
      <c r="H298">
        <f t="shared" si="7"/>
        <v>29.777777777777779</v>
      </c>
      <c r="I298">
        <v>86</v>
      </c>
      <c r="J298">
        <v>83</v>
      </c>
      <c r="K298">
        <v>5.6</v>
      </c>
      <c r="L298">
        <v>0</v>
      </c>
      <c r="M298">
        <v>0</v>
      </c>
      <c r="N298">
        <v>0</v>
      </c>
      <c r="O298">
        <v>108</v>
      </c>
      <c r="P298">
        <v>0</v>
      </c>
      <c r="Q298">
        <v>53</v>
      </c>
      <c r="R298">
        <v>22</v>
      </c>
      <c r="S298">
        <v>295</v>
      </c>
      <c r="T298">
        <v>4.9000000000000004</v>
      </c>
      <c r="U298">
        <v>6.1</v>
      </c>
      <c r="V298">
        <v>0</v>
      </c>
      <c r="W298">
        <f t="shared" si="31"/>
        <v>723.07292027503502</v>
      </c>
      <c r="X298">
        <f t="shared" si="29"/>
        <v>40.93992620894506</v>
      </c>
    </row>
    <row r="299" spans="1:24" x14ac:dyDescent="0.2">
      <c r="A299" t="s">
        <v>538</v>
      </c>
      <c r="B299" t="s">
        <v>539</v>
      </c>
      <c r="C299">
        <v>1976</v>
      </c>
      <c r="D299">
        <v>1</v>
      </c>
      <c r="E299">
        <v>1</v>
      </c>
      <c r="F299">
        <v>62</v>
      </c>
      <c r="G299">
        <v>170</v>
      </c>
      <c r="H299">
        <f t="shared" ref="H299:H460" si="32">F299/((G299/100)*(G299/100))</f>
        <v>21.453287197231838</v>
      </c>
      <c r="I299">
        <v>81</v>
      </c>
      <c r="J299">
        <v>103</v>
      </c>
      <c r="K299">
        <v>5.7</v>
      </c>
      <c r="L299">
        <v>0</v>
      </c>
      <c r="M299">
        <v>0</v>
      </c>
      <c r="N299">
        <v>0</v>
      </c>
      <c r="O299">
        <v>123</v>
      </c>
      <c r="P299">
        <v>0</v>
      </c>
      <c r="Q299">
        <v>48</v>
      </c>
      <c r="R299">
        <v>27</v>
      </c>
      <c r="S299">
        <v>287</v>
      </c>
      <c r="T299">
        <v>6.6</v>
      </c>
      <c r="U299">
        <v>5.8</v>
      </c>
      <c r="V299">
        <v>0</v>
      </c>
      <c r="W299">
        <f t="shared" si="31"/>
        <v>709.05505920641076</v>
      </c>
      <c r="X299">
        <f t="shared" si="29"/>
        <v>17.981955145261853</v>
      </c>
    </row>
    <row r="300" spans="1:24" x14ac:dyDescent="0.2">
      <c r="A300" t="s">
        <v>540</v>
      </c>
      <c r="B300" t="s">
        <v>541</v>
      </c>
      <c r="C300">
        <v>2002</v>
      </c>
      <c r="D300">
        <v>1</v>
      </c>
      <c r="E300">
        <v>1</v>
      </c>
      <c r="F300">
        <v>80</v>
      </c>
      <c r="G300">
        <v>172</v>
      </c>
      <c r="H300">
        <f t="shared" si="32"/>
        <v>27.041644131963228</v>
      </c>
      <c r="I300">
        <v>97</v>
      </c>
      <c r="J300">
        <v>88</v>
      </c>
      <c r="K300">
        <v>6.02</v>
      </c>
      <c r="L300">
        <v>0</v>
      </c>
      <c r="M300">
        <v>0</v>
      </c>
      <c r="N300">
        <v>0</v>
      </c>
      <c r="O300">
        <v>253</v>
      </c>
      <c r="P300">
        <v>0</v>
      </c>
      <c r="Q300">
        <v>44</v>
      </c>
      <c r="R300">
        <v>43</v>
      </c>
      <c r="S300">
        <v>285</v>
      </c>
      <c r="T300">
        <v>7.4</v>
      </c>
      <c r="U300">
        <v>5.7</v>
      </c>
      <c r="V300">
        <v>0</v>
      </c>
      <c r="W300">
        <f t="shared" si="31"/>
        <v>903.80517489664089</v>
      </c>
      <c r="X300">
        <f t="shared" si="29"/>
        <v>75.558974923783239</v>
      </c>
    </row>
    <row r="301" spans="1:24" x14ac:dyDescent="0.2">
      <c r="A301" t="s">
        <v>542</v>
      </c>
      <c r="B301" t="s">
        <v>543</v>
      </c>
      <c r="C301">
        <v>2006</v>
      </c>
      <c r="D301">
        <v>1</v>
      </c>
      <c r="E301">
        <v>1</v>
      </c>
      <c r="F301">
        <v>98</v>
      </c>
      <c r="G301">
        <v>178</v>
      </c>
      <c r="H301">
        <f t="shared" si="32"/>
        <v>30.930438076000502</v>
      </c>
      <c r="I301">
        <v>107</v>
      </c>
      <c r="J301">
        <v>83</v>
      </c>
      <c r="K301">
        <v>5.98</v>
      </c>
      <c r="L301">
        <v>0</v>
      </c>
      <c r="M301">
        <v>0</v>
      </c>
      <c r="N301">
        <v>0</v>
      </c>
      <c r="O301">
        <v>355</v>
      </c>
      <c r="P301">
        <v>0</v>
      </c>
      <c r="Q301">
        <v>41</v>
      </c>
      <c r="R301">
        <v>141</v>
      </c>
      <c r="S301">
        <v>316</v>
      </c>
      <c r="T301">
        <v>13</v>
      </c>
      <c r="U301">
        <v>6.6</v>
      </c>
      <c r="V301">
        <v>0</v>
      </c>
      <c r="W301">
        <f t="shared" si="31"/>
        <v>1026.9658001881915</v>
      </c>
      <c r="X301">
        <f>100*EXP(0.953*LN(O301)+0.139*H301+0.718*LN(R301)+0.053*I301-15.745)/(1+EXP(0.953*LN(O301)+0.139*H301+0.718*LN(R301)+0.053*I301-15.745))</f>
        <v>96.690342276641118</v>
      </c>
    </row>
    <row r="302" spans="1:24" hidden="1" x14ac:dyDescent="0.2">
      <c r="A302" t="s">
        <v>818</v>
      </c>
      <c r="B302" t="s">
        <v>819</v>
      </c>
      <c r="C302">
        <v>1989</v>
      </c>
      <c r="D302">
        <v>1</v>
      </c>
      <c r="E302">
        <v>1</v>
      </c>
      <c r="F302">
        <v>73</v>
      </c>
      <c r="G302">
        <v>164</v>
      </c>
      <c r="H302">
        <f t="shared" si="32"/>
        <v>27.141582391433676</v>
      </c>
      <c r="I302">
        <v>98</v>
      </c>
      <c r="J302">
        <v>110</v>
      </c>
      <c r="K302">
        <v>5.2</v>
      </c>
      <c r="L302">
        <v>0</v>
      </c>
      <c r="M302">
        <v>0</v>
      </c>
      <c r="N302">
        <v>0</v>
      </c>
      <c r="O302">
        <v>276</v>
      </c>
      <c r="P302">
        <v>0</v>
      </c>
      <c r="Q302">
        <v>49</v>
      </c>
      <c r="R302">
        <v>49</v>
      </c>
      <c r="S302">
        <v>239</v>
      </c>
      <c r="T302">
        <v>5.7</v>
      </c>
      <c r="U302">
        <v>4.5999999999999996</v>
      </c>
      <c r="V302">
        <v>1</v>
      </c>
      <c r="W302">
        <f t="shared" si="31"/>
        <v>943.5179369930629</v>
      </c>
      <c r="X302">
        <f t="shared" ref="X302:X312" si="33">100*EXP(0.953*LN(O302)+0.139*H302+0.718*LN(R302)+0.053*I302-15.745)/(1+EXP(0.953*LN(O302)+0.139*H302+0.718*LN(R302)+0.053*I302-15.745))</f>
        <v>79.774326251650692</v>
      </c>
    </row>
    <row r="303" spans="1:24" hidden="1" x14ac:dyDescent="0.2">
      <c r="A303" t="s">
        <v>820</v>
      </c>
      <c r="B303" t="s">
        <v>821</v>
      </c>
      <c r="C303">
        <v>1984</v>
      </c>
      <c r="D303">
        <v>1</v>
      </c>
      <c r="E303">
        <v>1</v>
      </c>
      <c r="F303">
        <v>72</v>
      </c>
      <c r="G303">
        <v>171</v>
      </c>
      <c r="H303">
        <f t="shared" si="32"/>
        <v>24.622960911049557</v>
      </c>
      <c r="I303">
        <v>91</v>
      </c>
      <c r="J303">
        <v>110</v>
      </c>
      <c r="K303">
        <v>5.8</v>
      </c>
      <c r="L303">
        <v>0</v>
      </c>
      <c r="M303">
        <v>0</v>
      </c>
      <c r="N303">
        <v>0</v>
      </c>
      <c r="O303">
        <v>127</v>
      </c>
      <c r="P303">
        <v>0</v>
      </c>
      <c r="Q303">
        <v>51</v>
      </c>
      <c r="R303">
        <v>133</v>
      </c>
      <c r="S303">
        <v>302</v>
      </c>
      <c r="T303">
        <v>9</v>
      </c>
      <c r="U303">
        <v>6.1</v>
      </c>
      <c r="V303">
        <v>1</v>
      </c>
      <c r="W303">
        <f>LN(O303*J303/2)*I303</f>
        <v>805.4883447238866</v>
      </c>
      <c r="X303">
        <f t="shared" si="33"/>
        <v>65.2120347717523</v>
      </c>
    </row>
    <row r="304" spans="1:24" x14ac:dyDescent="0.2">
      <c r="A304" t="s">
        <v>822</v>
      </c>
      <c r="B304" t="s">
        <v>823</v>
      </c>
      <c r="C304">
        <v>1983</v>
      </c>
      <c r="D304">
        <v>0</v>
      </c>
      <c r="E304">
        <v>1</v>
      </c>
      <c r="F304">
        <v>52</v>
      </c>
      <c r="G304">
        <v>151</v>
      </c>
      <c r="H304">
        <f t="shared" si="32"/>
        <v>22.806017279943863</v>
      </c>
      <c r="I304">
        <v>79</v>
      </c>
      <c r="J304">
        <v>103</v>
      </c>
      <c r="K304">
        <v>5.4</v>
      </c>
      <c r="L304">
        <v>0</v>
      </c>
      <c r="M304">
        <v>0</v>
      </c>
      <c r="N304">
        <v>0</v>
      </c>
      <c r="O304">
        <v>65</v>
      </c>
      <c r="P304">
        <v>0</v>
      </c>
      <c r="Q304">
        <v>66</v>
      </c>
      <c r="R304">
        <v>51</v>
      </c>
      <c r="S304">
        <v>198</v>
      </c>
      <c r="T304">
        <v>6.7</v>
      </c>
      <c r="U304">
        <v>4.2</v>
      </c>
      <c r="V304">
        <v>0</v>
      </c>
      <c r="W304">
        <f>LN(O304*J304/2)*I304</f>
        <v>641.1615571276609</v>
      </c>
      <c r="X304">
        <f t="shared" si="33"/>
        <v>16.984562720486505</v>
      </c>
    </row>
    <row r="305" spans="1:24" x14ac:dyDescent="0.2">
      <c r="A305" t="s">
        <v>544</v>
      </c>
      <c r="B305" t="s">
        <v>545</v>
      </c>
      <c r="C305">
        <v>1993</v>
      </c>
      <c r="D305">
        <v>0</v>
      </c>
      <c r="E305">
        <v>1</v>
      </c>
      <c r="F305">
        <v>57</v>
      </c>
      <c r="G305">
        <v>158</v>
      </c>
      <c r="H305">
        <f t="shared" si="32"/>
        <v>22.832879346258608</v>
      </c>
      <c r="I305">
        <v>82</v>
      </c>
      <c r="J305">
        <v>94</v>
      </c>
      <c r="K305">
        <v>5.0199999999999996</v>
      </c>
      <c r="L305">
        <v>0</v>
      </c>
      <c r="M305">
        <v>0</v>
      </c>
      <c r="N305">
        <v>0</v>
      </c>
      <c r="O305">
        <v>97</v>
      </c>
      <c r="P305">
        <v>0</v>
      </c>
      <c r="Q305">
        <v>48</v>
      </c>
      <c r="R305">
        <v>32</v>
      </c>
      <c r="S305">
        <v>335</v>
      </c>
      <c r="T305">
        <v>4.9000000000000004</v>
      </c>
      <c r="U305">
        <v>5.3</v>
      </c>
      <c r="V305">
        <v>0</v>
      </c>
      <c r="W305">
        <f t="shared" ref="W305:W311" si="34">LN(O305*J305/2)*I305</f>
        <v>690.83840357750228</v>
      </c>
      <c r="X305">
        <f t="shared" si="33"/>
        <v>20.147003544504148</v>
      </c>
    </row>
    <row r="306" spans="1:24" x14ac:dyDescent="0.2">
      <c r="A306" t="s">
        <v>824</v>
      </c>
      <c r="B306" t="s">
        <v>825</v>
      </c>
      <c r="C306">
        <v>1985</v>
      </c>
      <c r="D306">
        <v>1</v>
      </c>
      <c r="E306">
        <v>1</v>
      </c>
      <c r="F306">
        <v>75</v>
      </c>
      <c r="G306">
        <v>163</v>
      </c>
      <c r="H306">
        <f t="shared" si="32"/>
        <v>28.228386465429637</v>
      </c>
      <c r="I306">
        <v>90</v>
      </c>
      <c r="J306">
        <v>101</v>
      </c>
      <c r="K306">
        <v>5.35</v>
      </c>
      <c r="L306">
        <v>0</v>
      </c>
      <c r="M306">
        <v>0</v>
      </c>
      <c r="N306">
        <v>0</v>
      </c>
      <c r="O306">
        <v>57</v>
      </c>
      <c r="P306">
        <v>0</v>
      </c>
      <c r="Q306">
        <v>54</v>
      </c>
      <c r="R306">
        <v>24</v>
      </c>
      <c r="S306">
        <v>226</v>
      </c>
      <c r="T306">
        <v>5.7</v>
      </c>
      <c r="U306">
        <v>4.9000000000000004</v>
      </c>
      <c r="V306">
        <v>0</v>
      </c>
      <c r="W306">
        <f t="shared" si="34"/>
        <v>716.85221437042776</v>
      </c>
      <c r="X306">
        <f t="shared" si="33"/>
        <v>28.569529813470375</v>
      </c>
    </row>
    <row r="307" spans="1:24" x14ac:dyDescent="0.2">
      <c r="A307" t="s">
        <v>826</v>
      </c>
      <c r="B307" t="s">
        <v>827</v>
      </c>
      <c r="C307">
        <v>1976</v>
      </c>
      <c r="D307">
        <v>0</v>
      </c>
      <c r="E307">
        <v>1</v>
      </c>
      <c r="F307">
        <v>61</v>
      </c>
      <c r="G307">
        <v>156</v>
      </c>
      <c r="H307">
        <f t="shared" si="32"/>
        <v>25.06574621959237</v>
      </c>
      <c r="I307">
        <v>80</v>
      </c>
      <c r="J307">
        <v>123</v>
      </c>
      <c r="K307">
        <v>7.29</v>
      </c>
      <c r="L307">
        <v>1</v>
      </c>
      <c r="M307">
        <v>1</v>
      </c>
      <c r="N307">
        <v>1</v>
      </c>
      <c r="O307">
        <v>202</v>
      </c>
      <c r="P307">
        <v>0</v>
      </c>
      <c r="Q307">
        <v>58</v>
      </c>
      <c r="R307">
        <v>19</v>
      </c>
      <c r="S307">
        <v>238</v>
      </c>
      <c r="T307">
        <v>6.9</v>
      </c>
      <c r="U307">
        <v>4.9000000000000004</v>
      </c>
      <c r="V307">
        <v>0</v>
      </c>
      <c r="W307">
        <f t="shared" si="34"/>
        <v>754.18438977709411</v>
      </c>
      <c r="X307">
        <f t="shared" si="33"/>
        <v>29.985782564986948</v>
      </c>
    </row>
    <row r="308" spans="1:24" hidden="1" x14ac:dyDescent="0.2">
      <c r="A308" t="s">
        <v>828</v>
      </c>
      <c r="B308" t="s">
        <v>829</v>
      </c>
      <c r="C308">
        <v>1978</v>
      </c>
      <c r="D308">
        <v>1</v>
      </c>
      <c r="E308">
        <v>1</v>
      </c>
      <c r="F308">
        <v>74</v>
      </c>
      <c r="G308">
        <v>160</v>
      </c>
      <c r="H308">
        <f t="shared" si="32"/>
        <v>28.906249999999993</v>
      </c>
      <c r="I308">
        <v>92</v>
      </c>
      <c r="J308">
        <v>112</v>
      </c>
      <c r="K308">
        <v>5.9</v>
      </c>
      <c r="L308">
        <v>0</v>
      </c>
      <c r="M308">
        <v>0</v>
      </c>
      <c r="N308">
        <v>0</v>
      </c>
      <c r="O308">
        <v>159</v>
      </c>
      <c r="P308">
        <v>0</v>
      </c>
      <c r="Q308">
        <v>27</v>
      </c>
      <c r="R308">
        <v>29</v>
      </c>
      <c r="S308">
        <v>296</v>
      </c>
      <c r="T308">
        <v>11.2</v>
      </c>
      <c r="U308">
        <v>5.9</v>
      </c>
      <c r="V308">
        <v>1</v>
      </c>
      <c r="W308">
        <f t="shared" si="34"/>
        <v>836.6715421518951</v>
      </c>
      <c r="X308">
        <f t="shared" si="33"/>
        <v>59.805149061579534</v>
      </c>
    </row>
    <row r="309" spans="1:24" x14ac:dyDescent="0.2">
      <c r="A309" t="s">
        <v>546</v>
      </c>
      <c r="B309" t="s">
        <v>547</v>
      </c>
      <c r="C309">
        <v>1990</v>
      </c>
      <c r="D309">
        <v>1</v>
      </c>
      <c r="E309">
        <v>1</v>
      </c>
      <c r="F309">
        <v>59</v>
      </c>
      <c r="G309">
        <v>167</v>
      </c>
      <c r="H309">
        <f t="shared" si="32"/>
        <v>21.155294202015131</v>
      </c>
      <c r="I309">
        <v>78</v>
      </c>
      <c r="J309">
        <v>105</v>
      </c>
      <c r="K309">
        <v>5.78</v>
      </c>
      <c r="L309">
        <v>0</v>
      </c>
      <c r="M309">
        <v>0</v>
      </c>
      <c r="N309">
        <v>0</v>
      </c>
      <c r="O309">
        <v>165</v>
      </c>
      <c r="P309">
        <v>0</v>
      </c>
      <c r="Q309">
        <v>60</v>
      </c>
      <c r="R309">
        <v>42</v>
      </c>
      <c r="S309">
        <v>251</v>
      </c>
      <c r="T309">
        <v>5.6</v>
      </c>
      <c r="U309">
        <v>4.5999999999999996</v>
      </c>
      <c r="V309">
        <v>0</v>
      </c>
      <c r="W309">
        <f t="shared" si="34"/>
        <v>707.20717419285631</v>
      </c>
      <c r="X309">
        <f t="shared" si="33"/>
        <v>24.586268396493757</v>
      </c>
    </row>
    <row r="310" spans="1:24" x14ac:dyDescent="0.2">
      <c r="A310" t="s">
        <v>830</v>
      </c>
      <c r="B310" t="s">
        <v>831</v>
      </c>
      <c r="C310">
        <v>1990</v>
      </c>
      <c r="D310">
        <v>1</v>
      </c>
      <c r="E310">
        <v>1</v>
      </c>
      <c r="F310">
        <v>74</v>
      </c>
      <c r="G310">
        <v>172</v>
      </c>
      <c r="H310">
        <f t="shared" si="32"/>
        <v>25.013520822065985</v>
      </c>
      <c r="I310">
        <v>83</v>
      </c>
      <c r="J310">
        <v>114</v>
      </c>
      <c r="K310">
        <v>5.5</v>
      </c>
      <c r="L310">
        <v>0</v>
      </c>
      <c r="M310">
        <v>0</v>
      </c>
      <c r="N310">
        <v>0</v>
      </c>
      <c r="O310">
        <v>101</v>
      </c>
      <c r="P310">
        <v>0</v>
      </c>
      <c r="Q310">
        <v>44</v>
      </c>
      <c r="R310">
        <v>39</v>
      </c>
      <c r="S310">
        <v>235</v>
      </c>
      <c r="T310">
        <v>5.3</v>
      </c>
      <c r="U310">
        <v>4.9000000000000004</v>
      </c>
      <c r="V310">
        <v>0</v>
      </c>
      <c r="W310">
        <f t="shared" si="34"/>
        <v>718.62825812809217</v>
      </c>
      <c r="X310">
        <f t="shared" si="33"/>
        <v>30.143507063713123</v>
      </c>
    </row>
    <row r="311" spans="1:24" hidden="1" x14ac:dyDescent="0.2">
      <c r="A311" t="s">
        <v>832</v>
      </c>
      <c r="B311" t="s">
        <v>703</v>
      </c>
      <c r="C311">
        <v>1974</v>
      </c>
      <c r="D311">
        <v>1</v>
      </c>
      <c r="E311">
        <v>1</v>
      </c>
      <c r="F311">
        <v>63</v>
      </c>
      <c r="G311">
        <v>162</v>
      </c>
      <c r="H311">
        <f t="shared" si="32"/>
        <v>24.005486968449926</v>
      </c>
      <c r="I311">
        <v>88</v>
      </c>
      <c r="J311">
        <v>92</v>
      </c>
      <c r="K311">
        <v>5</v>
      </c>
      <c r="L311">
        <v>0</v>
      </c>
      <c r="M311">
        <v>0</v>
      </c>
      <c r="N311">
        <v>0</v>
      </c>
      <c r="O311">
        <v>100</v>
      </c>
      <c r="P311">
        <v>0</v>
      </c>
      <c r="Q311">
        <v>52</v>
      </c>
      <c r="R311">
        <v>30</v>
      </c>
      <c r="S311">
        <v>246</v>
      </c>
      <c r="T311">
        <v>5.4</v>
      </c>
      <c r="U311">
        <v>4.8</v>
      </c>
      <c r="V311">
        <v>1</v>
      </c>
      <c r="W311">
        <f t="shared" si="34"/>
        <v>742.17541925799242</v>
      </c>
      <c r="X311">
        <f t="shared" si="33"/>
        <v>28.629429707175014</v>
      </c>
    </row>
    <row r="312" spans="1:24" x14ac:dyDescent="0.2">
      <c r="A312" t="s">
        <v>548</v>
      </c>
      <c r="B312" t="s">
        <v>549</v>
      </c>
      <c r="C312">
        <v>1985</v>
      </c>
      <c r="D312">
        <v>1</v>
      </c>
      <c r="E312">
        <v>1</v>
      </c>
      <c r="F312">
        <v>62</v>
      </c>
      <c r="G312">
        <v>162</v>
      </c>
      <c r="H312">
        <f t="shared" si="32"/>
        <v>23.624447492760247</v>
      </c>
      <c r="I312">
        <v>85</v>
      </c>
      <c r="J312">
        <v>90</v>
      </c>
      <c r="K312">
        <v>5.08</v>
      </c>
      <c r="L312">
        <v>0</v>
      </c>
      <c r="M312">
        <v>0</v>
      </c>
      <c r="N312">
        <v>0</v>
      </c>
      <c r="O312">
        <v>233</v>
      </c>
      <c r="P312">
        <v>0</v>
      </c>
      <c r="Q312">
        <v>50</v>
      </c>
      <c r="R312">
        <v>45</v>
      </c>
      <c r="S312">
        <v>282</v>
      </c>
      <c r="T312">
        <v>6.6</v>
      </c>
      <c r="U312">
        <v>5.7</v>
      </c>
      <c r="V312">
        <v>0</v>
      </c>
      <c r="W312">
        <f>LN(O312*J312/2)*I312</f>
        <v>786.90458018356173</v>
      </c>
      <c r="X312">
        <f t="shared" si="33"/>
        <v>49.295584494715669</v>
      </c>
    </row>
    <row r="313" spans="1:24" hidden="1" x14ac:dyDescent="0.2">
      <c r="A313" t="s">
        <v>833</v>
      </c>
      <c r="B313" t="s">
        <v>834</v>
      </c>
      <c r="C313">
        <v>1989</v>
      </c>
      <c r="D313">
        <v>1</v>
      </c>
      <c r="E313">
        <v>1</v>
      </c>
      <c r="F313">
        <v>69</v>
      </c>
      <c r="G313">
        <v>167</v>
      </c>
      <c r="H313">
        <f t="shared" si="32"/>
        <v>24.740937287102444</v>
      </c>
      <c r="I313">
        <v>92</v>
      </c>
      <c r="J313">
        <v>85</v>
      </c>
      <c r="K313">
        <v>5.65</v>
      </c>
      <c r="L313">
        <v>0</v>
      </c>
      <c r="M313">
        <v>0</v>
      </c>
      <c r="N313">
        <v>0</v>
      </c>
      <c r="O313">
        <v>352</v>
      </c>
      <c r="P313">
        <v>0</v>
      </c>
      <c r="Q313">
        <v>46</v>
      </c>
      <c r="R313">
        <v>50</v>
      </c>
      <c r="S313">
        <v>253</v>
      </c>
      <c r="T313">
        <v>5.0999999999999996</v>
      </c>
      <c r="U313">
        <v>4.8</v>
      </c>
      <c r="V313">
        <v>1</v>
      </c>
      <c r="W313">
        <f>LN(O313*J313/2)*I313</f>
        <v>884.40844314061917</v>
      </c>
      <c r="X313">
        <f>100*EXP(0.953*LN(O313)+0.139*H313+0.718*LN(R313)+0.053*I313-15.745)/(1+EXP(0.953*LN(O313)+0.139*H313+0.718*LN(R313)+0.053*I313-15.745))</f>
        <v>72.449384789031711</v>
      </c>
    </row>
    <row r="314" spans="1:24" hidden="1" x14ac:dyDescent="0.2">
      <c r="A314" t="s">
        <v>835</v>
      </c>
      <c r="B314" t="s">
        <v>836</v>
      </c>
      <c r="C314">
        <v>1994</v>
      </c>
      <c r="D314">
        <v>1</v>
      </c>
      <c r="E314">
        <v>1</v>
      </c>
      <c r="F314">
        <v>79</v>
      </c>
      <c r="G314">
        <v>172</v>
      </c>
      <c r="H314">
        <f t="shared" si="32"/>
        <v>26.703623580313685</v>
      </c>
      <c r="I314">
        <v>92</v>
      </c>
      <c r="J314">
        <v>106</v>
      </c>
      <c r="K314">
        <v>5.12</v>
      </c>
      <c r="L314">
        <v>0</v>
      </c>
      <c r="M314">
        <v>0</v>
      </c>
      <c r="N314">
        <v>0</v>
      </c>
      <c r="O314">
        <v>484</v>
      </c>
      <c r="P314">
        <v>0</v>
      </c>
      <c r="Q314">
        <v>50</v>
      </c>
      <c r="R314">
        <v>297</v>
      </c>
      <c r="S314">
        <v>230</v>
      </c>
      <c r="T314">
        <v>6.2</v>
      </c>
      <c r="U314">
        <v>4.7</v>
      </c>
      <c r="V314">
        <v>1</v>
      </c>
      <c r="W314">
        <f t="shared" ref="W314:W326" si="35">LN(O314*J314/2)*I314</f>
        <v>934.01866746472524</v>
      </c>
      <c r="X314">
        <f t="shared" ref="X314:X338" si="36">100*EXP(0.953*LN(O314)+0.139*H314+0.718*LN(R314)+0.053*I314-15.745)/(1+EXP(0.953*LN(O314)+0.139*H314+0.718*LN(R314)+0.053*I314-15.745))</f>
        <v>94.387594683365194</v>
      </c>
    </row>
    <row r="315" spans="1:24" x14ac:dyDescent="0.2">
      <c r="A315" t="s">
        <v>550</v>
      </c>
      <c r="B315" t="s">
        <v>551</v>
      </c>
      <c r="C315">
        <v>1987</v>
      </c>
      <c r="D315">
        <v>0</v>
      </c>
      <c r="E315">
        <v>1</v>
      </c>
      <c r="F315">
        <v>56</v>
      </c>
      <c r="G315">
        <v>153</v>
      </c>
      <c r="H315">
        <f t="shared" si="32"/>
        <v>23.92242299970097</v>
      </c>
      <c r="I315">
        <v>79</v>
      </c>
      <c r="J315">
        <v>106</v>
      </c>
      <c r="K315">
        <v>5.45</v>
      </c>
      <c r="L315">
        <v>0</v>
      </c>
      <c r="M315">
        <v>0</v>
      </c>
      <c r="N315">
        <v>0</v>
      </c>
      <c r="O315">
        <v>307</v>
      </c>
      <c r="P315">
        <v>0</v>
      </c>
      <c r="Q315">
        <v>40</v>
      </c>
      <c r="R315">
        <v>35</v>
      </c>
      <c r="S315">
        <v>284</v>
      </c>
      <c r="T315">
        <v>5.5</v>
      </c>
      <c r="U315">
        <v>5.6</v>
      </c>
      <c r="V315">
        <v>0</v>
      </c>
      <c r="W315">
        <f t="shared" si="35"/>
        <v>766.07403323000619</v>
      </c>
      <c r="X315">
        <f t="shared" si="36"/>
        <v>44.463856646163244</v>
      </c>
    </row>
    <row r="316" spans="1:24" x14ac:dyDescent="0.2">
      <c r="A316" t="s">
        <v>552</v>
      </c>
      <c r="B316" t="s">
        <v>553</v>
      </c>
      <c r="C316">
        <v>1979</v>
      </c>
      <c r="D316">
        <v>0</v>
      </c>
      <c r="E316">
        <v>1</v>
      </c>
      <c r="F316">
        <v>60</v>
      </c>
      <c r="G316">
        <v>154</v>
      </c>
      <c r="H316">
        <f t="shared" si="32"/>
        <v>25.299375948726599</v>
      </c>
      <c r="I316">
        <v>84</v>
      </c>
      <c r="J316">
        <v>101</v>
      </c>
      <c r="K316">
        <v>5.27</v>
      </c>
      <c r="L316">
        <v>0</v>
      </c>
      <c r="M316">
        <v>0</v>
      </c>
      <c r="N316">
        <v>0</v>
      </c>
      <c r="O316">
        <v>132</v>
      </c>
      <c r="P316">
        <v>0</v>
      </c>
      <c r="Q316">
        <v>44</v>
      </c>
      <c r="R316">
        <v>46</v>
      </c>
      <c r="S316">
        <v>289</v>
      </c>
      <c r="T316">
        <v>6.5</v>
      </c>
      <c r="U316">
        <v>5.8</v>
      </c>
      <c r="V316">
        <v>0</v>
      </c>
      <c r="W316">
        <f t="shared" si="35"/>
        <v>739.60112174488563</v>
      </c>
      <c r="X316">
        <f t="shared" si="36"/>
        <v>40.754779517363644</v>
      </c>
    </row>
    <row r="317" spans="1:24" x14ac:dyDescent="0.2">
      <c r="A317" t="s">
        <v>554</v>
      </c>
      <c r="B317" t="s">
        <v>555</v>
      </c>
      <c r="C317">
        <v>1976</v>
      </c>
      <c r="D317">
        <v>1</v>
      </c>
      <c r="E317">
        <v>1</v>
      </c>
      <c r="F317">
        <v>69</v>
      </c>
      <c r="G317">
        <v>162</v>
      </c>
      <c r="H317">
        <f t="shared" si="32"/>
        <v>26.291723822588015</v>
      </c>
      <c r="I317">
        <v>92</v>
      </c>
      <c r="J317">
        <v>108</v>
      </c>
      <c r="K317">
        <v>6</v>
      </c>
      <c r="L317">
        <v>0</v>
      </c>
      <c r="M317">
        <v>0</v>
      </c>
      <c r="N317">
        <v>0</v>
      </c>
      <c r="O317">
        <v>637</v>
      </c>
      <c r="P317">
        <v>0</v>
      </c>
      <c r="Q317">
        <v>37</v>
      </c>
      <c r="R317">
        <v>46</v>
      </c>
      <c r="S317">
        <v>264</v>
      </c>
      <c r="T317">
        <v>7.3</v>
      </c>
      <c r="U317">
        <v>5.2</v>
      </c>
      <c r="V317">
        <v>0</v>
      </c>
      <c r="W317">
        <f t="shared" si="35"/>
        <v>961.00934059655231</v>
      </c>
      <c r="X317">
        <f t="shared" si="36"/>
        <v>84.393667605215484</v>
      </c>
    </row>
    <row r="318" spans="1:24" x14ac:dyDescent="0.2">
      <c r="A318" t="s">
        <v>556</v>
      </c>
      <c r="B318" t="s">
        <v>557</v>
      </c>
      <c r="C318">
        <v>1971</v>
      </c>
      <c r="D318">
        <v>0</v>
      </c>
      <c r="E318">
        <v>1</v>
      </c>
      <c r="F318">
        <v>58</v>
      </c>
      <c r="G318">
        <v>154</v>
      </c>
      <c r="H318">
        <f t="shared" si="32"/>
        <v>24.456063417102378</v>
      </c>
      <c r="I318">
        <v>87</v>
      </c>
      <c r="J318">
        <v>92</v>
      </c>
      <c r="K318">
        <v>5.7</v>
      </c>
      <c r="L318">
        <v>0</v>
      </c>
      <c r="M318">
        <v>0</v>
      </c>
      <c r="N318">
        <v>0</v>
      </c>
      <c r="O318">
        <v>134</v>
      </c>
      <c r="P318">
        <v>0</v>
      </c>
      <c r="Q318">
        <v>55</v>
      </c>
      <c r="R318">
        <v>39</v>
      </c>
      <c r="S318">
        <v>318</v>
      </c>
      <c r="T318">
        <v>4.5999999999999996</v>
      </c>
      <c r="U318">
        <v>6.4</v>
      </c>
      <c r="V318">
        <v>0</v>
      </c>
      <c r="W318">
        <f t="shared" si="35"/>
        <v>759.2038640902806</v>
      </c>
      <c r="X318">
        <f t="shared" si="36"/>
        <v>39.256844601748817</v>
      </c>
    </row>
    <row r="319" spans="1:24" hidden="1" x14ac:dyDescent="0.2">
      <c r="A319" t="s">
        <v>837</v>
      </c>
      <c r="B319" t="s">
        <v>838</v>
      </c>
      <c r="C319">
        <v>1983</v>
      </c>
      <c r="D319">
        <v>1</v>
      </c>
      <c r="E319">
        <v>1</v>
      </c>
      <c r="F319">
        <v>63</v>
      </c>
      <c r="G319">
        <v>162</v>
      </c>
      <c r="H319">
        <f t="shared" si="32"/>
        <v>24.005486968449926</v>
      </c>
      <c r="I319">
        <v>85</v>
      </c>
      <c r="J319">
        <v>99</v>
      </c>
      <c r="K319">
        <v>5.62</v>
      </c>
      <c r="L319">
        <v>0</v>
      </c>
      <c r="M319">
        <v>0</v>
      </c>
      <c r="N319">
        <v>0</v>
      </c>
      <c r="O319">
        <v>418</v>
      </c>
      <c r="P319">
        <v>0</v>
      </c>
      <c r="Q319">
        <v>45</v>
      </c>
      <c r="R319">
        <v>51</v>
      </c>
      <c r="S319">
        <v>297</v>
      </c>
      <c r="T319">
        <v>4.0999999999999996</v>
      </c>
      <c r="U319">
        <v>6</v>
      </c>
      <c r="V319">
        <v>1</v>
      </c>
      <c r="W319">
        <f t="shared" si="35"/>
        <v>844.68359867844913</v>
      </c>
      <c r="X319">
        <f t="shared" si="36"/>
        <v>66.186744265393457</v>
      </c>
    </row>
    <row r="320" spans="1:24" x14ac:dyDescent="0.2">
      <c r="A320" t="s">
        <v>839</v>
      </c>
      <c r="B320" t="s">
        <v>840</v>
      </c>
      <c r="C320">
        <v>1990</v>
      </c>
      <c r="D320">
        <v>0</v>
      </c>
      <c r="E320">
        <v>1</v>
      </c>
      <c r="F320">
        <v>57</v>
      </c>
      <c r="G320">
        <v>158</v>
      </c>
      <c r="H320">
        <f t="shared" si="32"/>
        <v>22.832879346258608</v>
      </c>
      <c r="I320">
        <v>78</v>
      </c>
      <c r="J320">
        <v>92</v>
      </c>
      <c r="K320">
        <v>5.52</v>
      </c>
      <c r="L320">
        <v>0</v>
      </c>
      <c r="M320">
        <v>0</v>
      </c>
      <c r="N320">
        <v>0</v>
      </c>
      <c r="O320">
        <v>110</v>
      </c>
      <c r="P320">
        <v>0</v>
      </c>
      <c r="Q320">
        <v>67</v>
      </c>
      <c r="R320">
        <v>22</v>
      </c>
      <c r="S320">
        <v>225</v>
      </c>
      <c r="T320">
        <v>6.4</v>
      </c>
      <c r="U320">
        <v>4.4000000000000004</v>
      </c>
      <c r="V320">
        <v>0</v>
      </c>
      <c r="W320">
        <f t="shared" si="35"/>
        <v>665.27149745795782</v>
      </c>
      <c r="X320">
        <f t="shared" si="36"/>
        <v>14.952854968548014</v>
      </c>
    </row>
    <row r="321" spans="1:24" x14ac:dyDescent="0.2">
      <c r="A321" t="s">
        <v>841</v>
      </c>
      <c r="B321" t="s">
        <v>842</v>
      </c>
      <c r="C321">
        <v>1983</v>
      </c>
      <c r="D321">
        <v>0</v>
      </c>
      <c r="E321">
        <v>1</v>
      </c>
      <c r="F321">
        <v>58</v>
      </c>
      <c r="G321">
        <v>152</v>
      </c>
      <c r="H321">
        <f t="shared" si="32"/>
        <v>25.103878116343491</v>
      </c>
      <c r="I321">
        <v>78</v>
      </c>
      <c r="J321">
        <v>88</v>
      </c>
      <c r="K321">
        <v>5.48</v>
      </c>
      <c r="L321">
        <v>0</v>
      </c>
      <c r="M321">
        <v>0</v>
      </c>
      <c r="N321">
        <v>1</v>
      </c>
      <c r="O321">
        <v>119</v>
      </c>
      <c r="P321">
        <v>0</v>
      </c>
      <c r="Q321">
        <v>41</v>
      </c>
      <c r="R321">
        <v>15</v>
      </c>
      <c r="S321">
        <v>187</v>
      </c>
      <c r="T321">
        <v>5.0999999999999996</v>
      </c>
      <c r="U321">
        <v>4.0999999999999996</v>
      </c>
      <c r="V321">
        <v>0</v>
      </c>
      <c r="W321">
        <f t="shared" si="35"/>
        <v>667.93842390832367</v>
      </c>
      <c r="X321">
        <f t="shared" si="36"/>
        <v>16.483611894655859</v>
      </c>
    </row>
    <row r="322" spans="1:24" x14ac:dyDescent="0.2">
      <c r="A322" t="s">
        <v>558</v>
      </c>
      <c r="B322" t="s">
        <v>559</v>
      </c>
      <c r="C322">
        <v>1974</v>
      </c>
      <c r="D322">
        <v>1</v>
      </c>
      <c r="E322">
        <v>1</v>
      </c>
      <c r="F322">
        <v>80</v>
      </c>
      <c r="G322">
        <v>167</v>
      </c>
      <c r="H322">
        <f t="shared" si="32"/>
        <v>28.685144680698485</v>
      </c>
      <c r="I322">
        <v>96</v>
      </c>
      <c r="J322">
        <v>83</v>
      </c>
      <c r="K322">
        <v>5.8</v>
      </c>
      <c r="L322">
        <v>0</v>
      </c>
      <c r="M322">
        <v>0</v>
      </c>
      <c r="N322">
        <v>0</v>
      </c>
      <c r="O322">
        <v>183</v>
      </c>
      <c r="P322">
        <v>0</v>
      </c>
      <c r="Q322">
        <v>45</v>
      </c>
      <c r="R322">
        <v>74</v>
      </c>
      <c r="S322">
        <v>330</v>
      </c>
      <c r="T322">
        <v>10.7</v>
      </c>
      <c r="U322">
        <v>7.1</v>
      </c>
      <c r="V322">
        <v>0</v>
      </c>
      <c r="W322">
        <f t="shared" si="35"/>
        <v>857.77723968749513</v>
      </c>
      <c r="X322">
        <f t="shared" si="36"/>
        <v>79.98239083085214</v>
      </c>
    </row>
    <row r="323" spans="1:24" x14ac:dyDescent="0.2">
      <c r="A323" t="s">
        <v>560</v>
      </c>
      <c r="B323" t="s">
        <v>561</v>
      </c>
      <c r="C323">
        <v>1975</v>
      </c>
      <c r="D323">
        <v>1</v>
      </c>
      <c r="E323">
        <v>1</v>
      </c>
      <c r="F323">
        <v>72</v>
      </c>
      <c r="G323">
        <v>163</v>
      </c>
      <c r="H323">
        <f t="shared" si="32"/>
        <v>27.099251006812452</v>
      </c>
      <c r="I323">
        <v>95</v>
      </c>
      <c r="J323">
        <v>76</v>
      </c>
      <c r="K323">
        <v>5.68</v>
      </c>
      <c r="L323">
        <v>0</v>
      </c>
      <c r="M323">
        <v>0</v>
      </c>
      <c r="N323">
        <v>0</v>
      </c>
      <c r="O323">
        <v>66</v>
      </c>
      <c r="P323">
        <v>0</v>
      </c>
      <c r="Q323">
        <v>101</v>
      </c>
      <c r="R323">
        <v>28</v>
      </c>
      <c r="S323">
        <v>269</v>
      </c>
      <c r="T323">
        <v>6.8</v>
      </c>
      <c r="U323">
        <v>5.3</v>
      </c>
      <c r="V323">
        <v>0</v>
      </c>
      <c r="W323">
        <f t="shared" si="35"/>
        <v>743.58788566651708</v>
      </c>
      <c r="X323">
        <f t="shared" si="36"/>
        <v>36.402416776500964</v>
      </c>
    </row>
    <row r="324" spans="1:24" x14ac:dyDescent="0.2">
      <c r="A324" t="s">
        <v>562</v>
      </c>
      <c r="B324" t="s">
        <v>563</v>
      </c>
      <c r="C324">
        <v>1973</v>
      </c>
      <c r="D324">
        <v>1</v>
      </c>
      <c r="E324">
        <v>1</v>
      </c>
      <c r="F324">
        <v>60</v>
      </c>
      <c r="G324">
        <v>160</v>
      </c>
      <c r="H324">
        <f t="shared" si="32"/>
        <v>23.437499999999996</v>
      </c>
      <c r="I324">
        <v>83</v>
      </c>
      <c r="J324">
        <v>88</v>
      </c>
      <c r="K324">
        <v>5.82</v>
      </c>
      <c r="L324">
        <v>0</v>
      </c>
      <c r="M324">
        <v>0</v>
      </c>
      <c r="N324">
        <v>0</v>
      </c>
      <c r="O324">
        <v>167</v>
      </c>
      <c r="P324">
        <v>0</v>
      </c>
      <c r="Q324">
        <v>47</v>
      </c>
      <c r="R324">
        <v>54</v>
      </c>
      <c r="S324">
        <v>311</v>
      </c>
      <c r="T324">
        <v>8.1</v>
      </c>
      <c r="U324">
        <v>6.2</v>
      </c>
      <c r="V324">
        <v>0</v>
      </c>
      <c r="W324">
        <f t="shared" si="35"/>
        <v>738.88122604580633</v>
      </c>
      <c r="X324">
        <f t="shared" si="36"/>
        <v>41.419530109721933</v>
      </c>
    </row>
    <row r="325" spans="1:24" x14ac:dyDescent="0.2">
      <c r="A325" t="s">
        <v>564</v>
      </c>
      <c r="B325" t="s">
        <v>565</v>
      </c>
      <c r="C325">
        <v>1977</v>
      </c>
      <c r="D325">
        <v>1</v>
      </c>
      <c r="E325">
        <v>1</v>
      </c>
      <c r="F325">
        <v>60</v>
      </c>
      <c r="G325">
        <v>162</v>
      </c>
      <c r="H325">
        <f t="shared" si="32"/>
        <v>22.862368541380881</v>
      </c>
      <c r="I325">
        <v>90</v>
      </c>
      <c r="J325">
        <v>88</v>
      </c>
      <c r="K325">
        <v>5.93</v>
      </c>
      <c r="L325">
        <v>0</v>
      </c>
      <c r="M325">
        <v>0</v>
      </c>
      <c r="N325">
        <v>0</v>
      </c>
      <c r="O325">
        <v>142</v>
      </c>
      <c r="P325">
        <v>0</v>
      </c>
      <c r="Q325">
        <v>42</v>
      </c>
      <c r="R325">
        <v>64</v>
      </c>
      <c r="S325">
        <v>262</v>
      </c>
      <c r="T325">
        <v>5.5</v>
      </c>
      <c r="U325">
        <v>5</v>
      </c>
      <c r="V325">
        <v>0</v>
      </c>
      <c r="W325">
        <f t="shared" si="35"/>
        <v>786.60150223675691</v>
      </c>
      <c r="X325">
        <f t="shared" si="36"/>
        <v>47.797687550047172</v>
      </c>
    </row>
    <row r="326" spans="1:24" x14ac:dyDescent="0.2">
      <c r="A326" t="s">
        <v>566</v>
      </c>
      <c r="B326" t="s">
        <v>567</v>
      </c>
      <c r="C326">
        <v>1992</v>
      </c>
      <c r="D326">
        <v>1</v>
      </c>
      <c r="E326">
        <v>1</v>
      </c>
      <c r="F326">
        <v>63</v>
      </c>
      <c r="G326">
        <v>171</v>
      </c>
      <c r="H326">
        <f t="shared" si="32"/>
        <v>21.545090797168363</v>
      </c>
      <c r="I326">
        <v>83</v>
      </c>
      <c r="J326">
        <v>97</v>
      </c>
      <c r="K326">
        <v>5.3</v>
      </c>
      <c r="L326">
        <v>0</v>
      </c>
      <c r="M326">
        <v>0</v>
      </c>
      <c r="N326">
        <v>0</v>
      </c>
      <c r="O326">
        <v>161</v>
      </c>
      <c r="P326">
        <v>0</v>
      </c>
      <c r="Q326">
        <v>44</v>
      </c>
      <c r="R326">
        <v>44</v>
      </c>
      <c r="S326">
        <v>301</v>
      </c>
      <c r="T326">
        <v>3.9</v>
      </c>
      <c r="U326">
        <v>6.1</v>
      </c>
      <c r="V326">
        <v>0</v>
      </c>
      <c r="W326">
        <f t="shared" si="35"/>
        <v>743.92635752301578</v>
      </c>
      <c r="X326">
        <f t="shared" si="36"/>
        <v>31.182396370906059</v>
      </c>
    </row>
    <row r="327" spans="1:24" x14ac:dyDescent="0.2">
      <c r="A327" t="s">
        <v>568</v>
      </c>
      <c r="B327" t="s">
        <v>569</v>
      </c>
      <c r="C327">
        <v>1987</v>
      </c>
      <c r="D327">
        <v>0</v>
      </c>
      <c r="E327">
        <v>1</v>
      </c>
      <c r="F327">
        <v>61</v>
      </c>
      <c r="G327">
        <v>160</v>
      </c>
      <c r="H327">
        <f t="shared" si="32"/>
        <v>23.828124999999996</v>
      </c>
      <c r="I327">
        <v>79</v>
      </c>
      <c r="J327">
        <v>88</v>
      </c>
      <c r="K327">
        <v>5.62</v>
      </c>
      <c r="L327">
        <v>0</v>
      </c>
      <c r="M327">
        <v>0</v>
      </c>
      <c r="N327">
        <v>0</v>
      </c>
      <c r="O327">
        <v>119</v>
      </c>
      <c r="P327">
        <v>0</v>
      </c>
      <c r="Q327">
        <v>50</v>
      </c>
      <c r="R327">
        <v>20</v>
      </c>
      <c r="S327">
        <v>215</v>
      </c>
      <c r="T327">
        <v>4.7</v>
      </c>
      <c r="U327">
        <v>4.0999999999999996</v>
      </c>
      <c r="V327">
        <v>0</v>
      </c>
      <c r="W327">
        <f>LN(O327*J327/2)*I327</f>
        <v>676.50173703535347</v>
      </c>
      <c r="X327">
        <f t="shared" si="36"/>
        <v>17.64698437602528</v>
      </c>
    </row>
    <row r="328" spans="1:24" x14ac:dyDescent="0.2">
      <c r="A328" t="s">
        <v>570</v>
      </c>
      <c r="B328" t="s">
        <v>571</v>
      </c>
      <c r="C328">
        <v>1995</v>
      </c>
      <c r="D328">
        <v>1</v>
      </c>
      <c r="E328">
        <v>1</v>
      </c>
      <c r="F328">
        <v>71</v>
      </c>
      <c r="G328">
        <v>165</v>
      </c>
      <c r="H328">
        <f t="shared" si="32"/>
        <v>26.078971533516992</v>
      </c>
      <c r="I328">
        <v>84</v>
      </c>
      <c r="J328">
        <v>83</v>
      </c>
      <c r="K328">
        <v>5.2</v>
      </c>
      <c r="L328">
        <v>0</v>
      </c>
      <c r="M328">
        <v>0</v>
      </c>
      <c r="N328">
        <v>0</v>
      </c>
      <c r="O328">
        <v>57</v>
      </c>
      <c r="P328">
        <v>0</v>
      </c>
      <c r="Q328">
        <v>54</v>
      </c>
      <c r="R328">
        <v>76</v>
      </c>
      <c r="S328">
        <v>210</v>
      </c>
      <c r="T328">
        <v>5.7</v>
      </c>
      <c r="U328">
        <v>4</v>
      </c>
      <c r="V328">
        <v>0</v>
      </c>
      <c r="W328">
        <f>LN(O328*J328/2)*I328</f>
        <v>652.57455438598106</v>
      </c>
      <c r="X328">
        <f t="shared" si="36"/>
        <v>33.058761665639771</v>
      </c>
    </row>
    <row r="329" spans="1:24" x14ac:dyDescent="0.2">
      <c r="A329" t="s">
        <v>572</v>
      </c>
      <c r="B329" t="s">
        <v>573</v>
      </c>
      <c r="C329">
        <v>1991</v>
      </c>
      <c r="D329">
        <v>1</v>
      </c>
      <c r="E329">
        <v>1</v>
      </c>
      <c r="F329">
        <v>67</v>
      </c>
      <c r="G329">
        <v>171</v>
      </c>
      <c r="H329">
        <f t="shared" si="32"/>
        <v>22.913033070004449</v>
      </c>
      <c r="I329">
        <v>87</v>
      </c>
      <c r="J329">
        <v>101</v>
      </c>
      <c r="K329">
        <v>5.8</v>
      </c>
      <c r="L329">
        <v>0</v>
      </c>
      <c r="M329">
        <v>0</v>
      </c>
      <c r="N329">
        <v>0</v>
      </c>
      <c r="O329">
        <v>117</v>
      </c>
      <c r="P329">
        <v>0</v>
      </c>
      <c r="Q329">
        <v>40</v>
      </c>
      <c r="R329">
        <v>35</v>
      </c>
      <c r="S329">
        <v>229</v>
      </c>
      <c r="T329">
        <v>5.0999999999999996</v>
      </c>
      <c r="U329">
        <v>4.5</v>
      </c>
      <c r="V329">
        <v>0</v>
      </c>
      <c r="W329">
        <f t="shared" ref="W329:W338" si="37">LN(O329*J329/2)*I329</f>
        <v>755.52081258387909</v>
      </c>
      <c r="X329">
        <f t="shared" si="36"/>
        <v>29.775805492065118</v>
      </c>
    </row>
    <row r="330" spans="1:24" x14ac:dyDescent="0.2">
      <c r="A330" t="s">
        <v>574</v>
      </c>
      <c r="B330" t="s">
        <v>575</v>
      </c>
      <c r="C330">
        <v>2002</v>
      </c>
      <c r="D330">
        <v>1</v>
      </c>
      <c r="E330">
        <v>1</v>
      </c>
      <c r="F330">
        <v>61</v>
      </c>
      <c r="G330">
        <v>173</v>
      </c>
      <c r="H330">
        <f t="shared" si="32"/>
        <v>20.381569714992146</v>
      </c>
      <c r="I330">
        <v>79</v>
      </c>
      <c r="J330">
        <v>92</v>
      </c>
      <c r="K330">
        <v>4.8</v>
      </c>
      <c r="L330">
        <v>0</v>
      </c>
      <c r="M330">
        <v>0</v>
      </c>
      <c r="N330">
        <v>0</v>
      </c>
      <c r="O330">
        <v>182</v>
      </c>
      <c r="P330">
        <v>0</v>
      </c>
      <c r="Q330">
        <v>39</v>
      </c>
      <c r="R330">
        <v>23</v>
      </c>
      <c r="S330">
        <v>244</v>
      </c>
      <c r="T330">
        <v>4.4000000000000004</v>
      </c>
      <c r="U330">
        <v>4.9000000000000004</v>
      </c>
      <c r="V330">
        <v>0</v>
      </c>
      <c r="W330">
        <f t="shared" si="37"/>
        <v>713.57919860170534</v>
      </c>
      <c r="X330">
        <f t="shared" si="36"/>
        <v>18.030852769951398</v>
      </c>
    </row>
    <row r="331" spans="1:24" x14ac:dyDescent="0.2">
      <c r="A331" t="s">
        <v>576</v>
      </c>
      <c r="B331" t="s">
        <v>577</v>
      </c>
      <c r="C331">
        <v>1981</v>
      </c>
      <c r="D331">
        <v>1</v>
      </c>
      <c r="E331">
        <v>1</v>
      </c>
      <c r="F331">
        <v>58</v>
      </c>
      <c r="G331">
        <v>163</v>
      </c>
      <c r="H331">
        <f t="shared" si="32"/>
        <v>21.829952199932254</v>
      </c>
      <c r="I331">
        <v>84</v>
      </c>
      <c r="J331">
        <v>191</v>
      </c>
      <c r="K331">
        <v>7.03</v>
      </c>
      <c r="L331">
        <v>1</v>
      </c>
      <c r="M331">
        <v>1</v>
      </c>
      <c r="N331">
        <v>1</v>
      </c>
      <c r="O331">
        <v>327</v>
      </c>
      <c r="P331">
        <v>1</v>
      </c>
      <c r="Q331">
        <v>38</v>
      </c>
      <c r="R331">
        <v>24</v>
      </c>
      <c r="S331">
        <v>258</v>
      </c>
      <c r="T331">
        <v>6.8</v>
      </c>
      <c r="U331">
        <v>5</v>
      </c>
      <c r="V331">
        <v>0</v>
      </c>
      <c r="W331">
        <f t="shared" si="37"/>
        <v>869.32325914425087</v>
      </c>
      <c r="X331">
        <f t="shared" si="36"/>
        <v>38.723210677078818</v>
      </c>
    </row>
    <row r="332" spans="1:24" hidden="1" x14ac:dyDescent="0.2">
      <c r="A332" t="s">
        <v>843</v>
      </c>
      <c r="B332" t="s">
        <v>844</v>
      </c>
      <c r="C332">
        <v>1995</v>
      </c>
      <c r="D332">
        <v>1</v>
      </c>
      <c r="E332">
        <v>1</v>
      </c>
      <c r="F332">
        <v>67</v>
      </c>
      <c r="G332">
        <v>173</v>
      </c>
      <c r="H332">
        <f t="shared" si="32"/>
        <v>22.386314277122523</v>
      </c>
      <c r="I332">
        <v>84</v>
      </c>
      <c r="J332">
        <v>86</v>
      </c>
      <c r="K332">
        <v>5.3</v>
      </c>
      <c r="L332">
        <v>0</v>
      </c>
      <c r="M332">
        <v>0</v>
      </c>
      <c r="N332">
        <v>0</v>
      </c>
      <c r="O332">
        <v>178</v>
      </c>
      <c r="P332">
        <v>0</v>
      </c>
      <c r="Q332">
        <v>54</v>
      </c>
      <c r="R332">
        <v>77</v>
      </c>
      <c r="S332">
        <v>238</v>
      </c>
      <c r="T332">
        <v>5.6</v>
      </c>
      <c r="U332">
        <v>4.76</v>
      </c>
      <c r="V332">
        <v>1</v>
      </c>
      <c r="W332">
        <f t="shared" si="37"/>
        <v>751.2106279427943</v>
      </c>
      <c r="X332">
        <f t="shared" si="36"/>
        <v>46.898728748442473</v>
      </c>
    </row>
    <row r="333" spans="1:24" x14ac:dyDescent="0.2">
      <c r="A333" t="s">
        <v>578</v>
      </c>
      <c r="B333" t="s">
        <v>579</v>
      </c>
      <c r="C333">
        <v>1996</v>
      </c>
      <c r="D333">
        <v>1</v>
      </c>
      <c r="E333">
        <v>1</v>
      </c>
      <c r="F333">
        <v>75</v>
      </c>
      <c r="G333">
        <v>175</v>
      </c>
      <c r="H333">
        <f t="shared" si="32"/>
        <v>24.489795918367346</v>
      </c>
      <c r="I333">
        <v>87</v>
      </c>
      <c r="J333">
        <v>86</v>
      </c>
      <c r="K333">
        <v>5</v>
      </c>
      <c r="L333">
        <v>0</v>
      </c>
      <c r="M333">
        <v>0</v>
      </c>
      <c r="N333">
        <v>0</v>
      </c>
      <c r="O333">
        <v>110</v>
      </c>
      <c r="P333">
        <v>0</v>
      </c>
      <c r="Q333">
        <v>28</v>
      </c>
      <c r="R333">
        <v>26</v>
      </c>
      <c r="S333">
        <v>263</v>
      </c>
      <c r="T333">
        <v>7.4</v>
      </c>
      <c r="U333">
        <v>5.2</v>
      </c>
      <c r="V333">
        <v>0</v>
      </c>
      <c r="W333">
        <f t="shared" si="37"/>
        <v>736.16620188928016</v>
      </c>
      <c r="X333">
        <f t="shared" si="36"/>
        <v>28.678558236208715</v>
      </c>
    </row>
    <row r="334" spans="1:24" x14ac:dyDescent="0.2">
      <c r="A334" t="s">
        <v>580</v>
      </c>
      <c r="B334" t="s">
        <v>581</v>
      </c>
      <c r="C334">
        <v>1993</v>
      </c>
      <c r="D334">
        <v>1</v>
      </c>
      <c r="E334">
        <v>1</v>
      </c>
      <c r="F334">
        <v>68</v>
      </c>
      <c r="G334">
        <v>159</v>
      </c>
      <c r="H334">
        <f t="shared" si="32"/>
        <v>26.897670187097027</v>
      </c>
      <c r="I334">
        <v>92</v>
      </c>
      <c r="J334">
        <v>99</v>
      </c>
      <c r="K334">
        <v>5.17</v>
      </c>
      <c r="L334">
        <v>0</v>
      </c>
      <c r="M334">
        <v>0</v>
      </c>
      <c r="N334">
        <v>0</v>
      </c>
      <c r="O334">
        <v>199</v>
      </c>
      <c r="P334">
        <v>0</v>
      </c>
      <c r="Q334">
        <v>46</v>
      </c>
      <c r="R334">
        <v>41</v>
      </c>
      <c r="S334">
        <v>222</v>
      </c>
      <c r="T334">
        <v>6.6</v>
      </c>
      <c r="U334">
        <v>4.5</v>
      </c>
      <c r="V334">
        <v>0</v>
      </c>
      <c r="W334">
        <f t="shared" si="37"/>
        <v>845.96552947552061</v>
      </c>
      <c r="X334">
        <f t="shared" si="36"/>
        <v>64.121474855877409</v>
      </c>
    </row>
    <row r="335" spans="1:24" hidden="1" x14ac:dyDescent="0.2">
      <c r="A335" t="s">
        <v>845</v>
      </c>
      <c r="B335" t="s">
        <v>846</v>
      </c>
      <c r="C335">
        <v>1980</v>
      </c>
      <c r="D335">
        <v>1</v>
      </c>
      <c r="E335">
        <v>1</v>
      </c>
      <c r="F335">
        <v>68</v>
      </c>
      <c r="G335">
        <v>156</v>
      </c>
      <c r="H335">
        <f t="shared" si="32"/>
        <v>27.94214332675871</v>
      </c>
      <c r="I335">
        <v>92</v>
      </c>
      <c r="J335">
        <v>151</v>
      </c>
      <c r="K335">
        <v>7</v>
      </c>
      <c r="L335">
        <v>1</v>
      </c>
      <c r="M335">
        <v>1</v>
      </c>
      <c r="N335">
        <v>1</v>
      </c>
      <c r="O335">
        <v>1529</v>
      </c>
      <c r="P335">
        <v>0</v>
      </c>
      <c r="Q335">
        <v>29</v>
      </c>
      <c r="R335">
        <v>221</v>
      </c>
      <c r="S335">
        <v>340</v>
      </c>
      <c r="T335">
        <v>5.6</v>
      </c>
      <c r="U335">
        <v>7.5</v>
      </c>
      <c r="V335">
        <v>1</v>
      </c>
      <c r="W335">
        <f t="shared" si="37"/>
        <v>1072.3981713209319</v>
      </c>
      <c r="X335">
        <f>100*EXP(0.953*LN(O335)+0.139*H335+0.718*LN(R335)+0.053*I335-15.745)/(1+EXP(0.953*LN(O335)+0.139*H335+0.718*LN(R335)+0.053*I335-15.745))</f>
        <v>97.973896509567595</v>
      </c>
    </row>
    <row r="336" spans="1:24" x14ac:dyDescent="0.2">
      <c r="A336" t="s">
        <v>582</v>
      </c>
      <c r="B336" t="s">
        <v>583</v>
      </c>
      <c r="C336">
        <v>1973</v>
      </c>
      <c r="D336">
        <v>1</v>
      </c>
      <c r="E336">
        <v>1</v>
      </c>
      <c r="F336">
        <v>61</v>
      </c>
      <c r="G336">
        <v>160</v>
      </c>
      <c r="H336">
        <f t="shared" si="32"/>
        <v>23.828124999999996</v>
      </c>
      <c r="I336">
        <v>90</v>
      </c>
      <c r="J336">
        <v>96</v>
      </c>
      <c r="K336">
        <v>5.82</v>
      </c>
      <c r="L336">
        <v>0</v>
      </c>
      <c r="M336">
        <v>0</v>
      </c>
      <c r="N336">
        <v>0</v>
      </c>
      <c r="O336">
        <v>209</v>
      </c>
      <c r="P336">
        <v>0</v>
      </c>
      <c r="Q336">
        <v>53</v>
      </c>
      <c r="R336">
        <v>71</v>
      </c>
      <c r="S336">
        <v>295</v>
      </c>
      <c r="T336">
        <v>8.9</v>
      </c>
      <c r="U336">
        <v>5.9</v>
      </c>
      <c r="V336">
        <v>0</v>
      </c>
      <c r="W336">
        <f t="shared" si="37"/>
        <v>829.21817365854315</v>
      </c>
      <c r="X336">
        <f t="shared" si="36"/>
        <v>61.986094928981032</v>
      </c>
    </row>
    <row r="337" spans="1:24" x14ac:dyDescent="0.2">
      <c r="A337" t="s">
        <v>584</v>
      </c>
      <c r="B337" t="s">
        <v>585</v>
      </c>
      <c r="C337">
        <v>1975</v>
      </c>
      <c r="D337">
        <v>1</v>
      </c>
      <c r="E337">
        <v>1</v>
      </c>
      <c r="F337">
        <v>70</v>
      </c>
      <c r="G337">
        <v>173</v>
      </c>
      <c r="H337">
        <f t="shared" si="32"/>
        <v>23.388686558187711</v>
      </c>
      <c r="I337">
        <v>92</v>
      </c>
      <c r="J337">
        <v>106</v>
      </c>
      <c r="K337">
        <v>6.3</v>
      </c>
      <c r="L337">
        <v>0</v>
      </c>
      <c r="M337">
        <v>0</v>
      </c>
      <c r="N337">
        <v>0</v>
      </c>
      <c r="O337">
        <v>235</v>
      </c>
      <c r="P337">
        <v>0</v>
      </c>
      <c r="Q337">
        <v>52</v>
      </c>
      <c r="R337">
        <v>632</v>
      </c>
      <c r="S337">
        <v>314</v>
      </c>
      <c r="T337">
        <v>10.4</v>
      </c>
      <c r="U337">
        <v>6.4</v>
      </c>
      <c r="V337">
        <v>0</v>
      </c>
      <c r="W337">
        <f t="shared" si="37"/>
        <v>867.54872334805793</v>
      </c>
      <c r="X337">
        <f t="shared" si="36"/>
        <v>90.161639845843013</v>
      </c>
    </row>
    <row r="338" spans="1:24" x14ac:dyDescent="0.2">
      <c r="A338" t="s">
        <v>586</v>
      </c>
      <c r="B338" t="s">
        <v>587</v>
      </c>
      <c r="C338">
        <v>1975</v>
      </c>
      <c r="D338">
        <v>0</v>
      </c>
      <c r="E338">
        <v>1</v>
      </c>
      <c r="F338">
        <v>57</v>
      </c>
      <c r="G338">
        <v>154</v>
      </c>
      <c r="H338">
        <f t="shared" si="32"/>
        <v>24.034407151290267</v>
      </c>
      <c r="I338">
        <v>83</v>
      </c>
      <c r="J338">
        <v>88</v>
      </c>
      <c r="K338">
        <v>5.88</v>
      </c>
      <c r="L338">
        <v>0</v>
      </c>
      <c r="M338">
        <v>0</v>
      </c>
      <c r="N338">
        <v>0</v>
      </c>
      <c r="O338">
        <v>138</v>
      </c>
      <c r="P338">
        <v>0</v>
      </c>
      <c r="Q338">
        <v>61</v>
      </c>
      <c r="R338">
        <v>35</v>
      </c>
      <c r="S338">
        <v>259</v>
      </c>
      <c r="T338">
        <v>7.1</v>
      </c>
      <c r="U338">
        <v>5</v>
      </c>
      <c r="V338">
        <v>0</v>
      </c>
      <c r="W338">
        <f t="shared" si="37"/>
        <v>723.04979548326367</v>
      </c>
      <c r="X338">
        <f t="shared" si="36"/>
        <v>31.934039427544167</v>
      </c>
    </row>
    <row r="339" spans="1:24" x14ac:dyDescent="0.2">
      <c r="A339" t="s">
        <v>588</v>
      </c>
      <c r="B339" t="s">
        <v>589</v>
      </c>
      <c r="C339">
        <v>1971</v>
      </c>
      <c r="D339">
        <v>0</v>
      </c>
      <c r="E339">
        <v>1</v>
      </c>
      <c r="F339">
        <v>59</v>
      </c>
      <c r="G339">
        <v>158</v>
      </c>
      <c r="H339">
        <f t="shared" si="32"/>
        <v>23.634033007530842</v>
      </c>
      <c r="I339">
        <v>88</v>
      </c>
      <c r="J339">
        <v>92</v>
      </c>
      <c r="K339">
        <v>6.38</v>
      </c>
      <c r="L339">
        <v>0</v>
      </c>
      <c r="M339">
        <v>0</v>
      </c>
      <c r="N339">
        <v>0</v>
      </c>
      <c r="O339">
        <v>234</v>
      </c>
      <c r="P339">
        <v>0</v>
      </c>
      <c r="Q339">
        <v>44</v>
      </c>
      <c r="R339">
        <v>48</v>
      </c>
      <c r="S339">
        <v>259</v>
      </c>
      <c r="T339">
        <v>7</v>
      </c>
      <c r="U339">
        <v>5.0999999999999996</v>
      </c>
      <c r="V339">
        <v>0</v>
      </c>
      <c r="W339">
        <f>LN(O339*J339/2)*I339</f>
        <v>816.98870104251807</v>
      </c>
      <c r="X339">
        <f>100*EXP(0.953*LN(O339)+0.139*H339+0.718*LN(R339)+0.053*I339-15.745)/(1+EXP(0.953*LN(O339)+0.139*H339+0.718*LN(R339)+0.053*I339-15.745))</f>
        <v>54.551711829521238</v>
      </c>
    </row>
    <row r="340" spans="1:24" x14ac:dyDescent="0.2">
      <c r="A340" t="s">
        <v>590</v>
      </c>
      <c r="B340" t="s">
        <v>591</v>
      </c>
      <c r="C340">
        <v>1978</v>
      </c>
      <c r="D340">
        <v>0</v>
      </c>
      <c r="E340">
        <v>1</v>
      </c>
      <c r="F340">
        <v>71</v>
      </c>
      <c r="G340">
        <v>153</v>
      </c>
      <c r="H340">
        <f t="shared" si="32"/>
        <v>30.330214874620872</v>
      </c>
      <c r="I340">
        <v>96</v>
      </c>
      <c r="J340">
        <v>106</v>
      </c>
      <c r="K340">
        <v>5.9</v>
      </c>
      <c r="L340">
        <v>0</v>
      </c>
      <c r="M340">
        <v>0</v>
      </c>
      <c r="N340">
        <v>0</v>
      </c>
      <c r="O340">
        <v>174</v>
      </c>
      <c r="P340">
        <v>0</v>
      </c>
      <c r="Q340">
        <v>54</v>
      </c>
      <c r="R340">
        <v>29</v>
      </c>
      <c r="S340">
        <v>309</v>
      </c>
      <c r="T340">
        <v>8.8000000000000007</v>
      </c>
      <c r="U340">
        <v>6.1</v>
      </c>
      <c r="V340">
        <v>0</v>
      </c>
      <c r="W340">
        <f>LN(O340*J340/2)*I340</f>
        <v>876.41733242559849</v>
      </c>
      <c r="X340">
        <f t="shared" ref="X340:X368" si="38">100*EXP(0.953*LN(O340)+0.139*H340+0.718*LN(R340)+0.053*I340-15.745)/(1+EXP(0.953*LN(O340)+0.139*H340+0.718*LN(R340)+0.053*I340-15.745))</f>
        <v>70.954968093570002</v>
      </c>
    </row>
    <row r="341" spans="1:24" x14ac:dyDescent="0.2">
      <c r="A341" t="s">
        <v>592</v>
      </c>
      <c r="B341" t="s">
        <v>593</v>
      </c>
      <c r="C341">
        <v>1990</v>
      </c>
      <c r="D341">
        <v>1</v>
      </c>
      <c r="E341">
        <v>1</v>
      </c>
      <c r="F341">
        <v>69</v>
      </c>
      <c r="G341">
        <v>171</v>
      </c>
      <c r="H341">
        <f t="shared" si="32"/>
        <v>23.59700420642249</v>
      </c>
      <c r="I341">
        <v>84</v>
      </c>
      <c r="J341">
        <v>94</v>
      </c>
      <c r="K341">
        <v>5.5</v>
      </c>
      <c r="L341">
        <v>0</v>
      </c>
      <c r="M341">
        <v>0</v>
      </c>
      <c r="N341">
        <v>0</v>
      </c>
      <c r="O341">
        <v>204</v>
      </c>
      <c r="P341">
        <v>0</v>
      </c>
      <c r="Q341">
        <v>58</v>
      </c>
      <c r="R341">
        <v>62</v>
      </c>
      <c r="S341">
        <v>278</v>
      </c>
      <c r="T341">
        <v>5.4</v>
      </c>
      <c r="U341">
        <v>5.3</v>
      </c>
      <c r="V341">
        <v>0</v>
      </c>
      <c r="W341">
        <f>LN(O341*J341/2)*I341</f>
        <v>770.13447802655901</v>
      </c>
      <c r="X341">
        <f t="shared" si="38"/>
        <v>50.460847631541661</v>
      </c>
    </row>
    <row r="342" spans="1:24" x14ac:dyDescent="0.2">
      <c r="A342" t="s">
        <v>594</v>
      </c>
      <c r="B342" t="s">
        <v>595</v>
      </c>
      <c r="C342">
        <v>1972</v>
      </c>
      <c r="D342">
        <v>1</v>
      </c>
      <c r="E342">
        <v>1</v>
      </c>
      <c r="F342">
        <v>70</v>
      </c>
      <c r="G342">
        <v>162</v>
      </c>
      <c r="H342">
        <f t="shared" si="32"/>
        <v>26.672763298277697</v>
      </c>
      <c r="I342">
        <v>92</v>
      </c>
      <c r="J342">
        <v>105</v>
      </c>
      <c r="K342">
        <v>5.6</v>
      </c>
      <c r="L342">
        <v>0</v>
      </c>
      <c r="M342">
        <v>0</v>
      </c>
      <c r="N342">
        <v>1</v>
      </c>
      <c r="O342">
        <v>78</v>
      </c>
      <c r="P342">
        <v>1</v>
      </c>
      <c r="Q342">
        <v>53</v>
      </c>
      <c r="R342">
        <v>68</v>
      </c>
      <c r="S342">
        <v>221</v>
      </c>
      <c r="T342">
        <v>6.9</v>
      </c>
      <c r="U342">
        <v>4.4000000000000004</v>
      </c>
      <c r="V342">
        <v>0</v>
      </c>
      <c r="W342">
        <f t="shared" ref="W342:W354" si="39">LN(O342*J342/2)*I342</f>
        <v>765.21202365841964</v>
      </c>
      <c r="X342">
        <f t="shared" si="38"/>
        <v>50.501586738445013</v>
      </c>
    </row>
    <row r="343" spans="1:24" x14ac:dyDescent="0.2">
      <c r="A343" t="s">
        <v>596</v>
      </c>
      <c r="B343" t="s">
        <v>597</v>
      </c>
      <c r="C343">
        <v>1998</v>
      </c>
      <c r="D343">
        <v>1</v>
      </c>
      <c r="E343">
        <v>1</v>
      </c>
      <c r="F343">
        <v>67</v>
      </c>
      <c r="G343">
        <v>165</v>
      </c>
      <c r="H343">
        <f t="shared" si="32"/>
        <v>24.609733700642796</v>
      </c>
      <c r="I343">
        <v>86</v>
      </c>
      <c r="J343">
        <v>86</v>
      </c>
      <c r="K343">
        <v>5.26</v>
      </c>
      <c r="L343">
        <v>0</v>
      </c>
      <c r="M343">
        <v>0</v>
      </c>
      <c r="N343">
        <v>0</v>
      </c>
      <c r="O343">
        <v>119</v>
      </c>
      <c r="P343">
        <v>0</v>
      </c>
      <c r="Q343">
        <v>40</v>
      </c>
      <c r="R343">
        <v>36</v>
      </c>
      <c r="S343">
        <v>229</v>
      </c>
      <c r="T343">
        <v>7.2</v>
      </c>
      <c r="U343">
        <v>4.7</v>
      </c>
      <c r="V343">
        <v>0</v>
      </c>
      <c r="W343">
        <f t="shared" si="39"/>
        <v>734.46783035723797</v>
      </c>
      <c r="X343">
        <f t="shared" si="38"/>
        <v>34.552333996499961</v>
      </c>
    </row>
    <row r="344" spans="1:24" hidden="1" x14ac:dyDescent="0.2">
      <c r="A344" t="s">
        <v>847</v>
      </c>
      <c r="B344" t="s">
        <v>848</v>
      </c>
      <c r="C344">
        <v>1998</v>
      </c>
      <c r="D344">
        <v>1</v>
      </c>
      <c r="E344">
        <v>1</v>
      </c>
      <c r="F344">
        <v>89</v>
      </c>
      <c r="G344">
        <v>180</v>
      </c>
      <c r="H344">
        <f t="shared" si="32"/>
        <v>27.469135802469133</v>
      </c>
      <c r="I344">
        <v>99</v>
      </c>
      <c r="J344">
        <v>88</v>
      </c>
      <c r="K344">
        <v>5.89</v>
      </c>
      <c r="L344">
        <v>0</v>
      </c>
      <c r="M344">
        <v>0</v>
      </c>
      <c r="N344">
        <v>0</v>
      </c>
      <c r="O344">
        <v>161</v>
      </c>
      <c r="P344">
        <v>0</v>
      </c>
      <c r="Q344">
        <v>45</v>
      </c>
      <c r="R344">
        <v>80</v>
      </c>
      <c r="S344">
        <v>283</v>
      </c>
      <c r="T344">
        <v>6</v>
      </c>
      <c r="U344">
        <v>5.5</v>
      </c>
      <c r="V344">
        <v>1</v>
      </c>
      <c r="W344">
        <f t="shared" si="39"/>
        <v>877.69380589136972</v>
      </c>
      <c r="X344">
        <f t="shared" si="38"/>
        <v>78.735972842379468</v>
      </c>
    </row>
    <row r="345" spans="1:24" hidden="1" x14ac:dyDescent="0.2">
      <c r="A345" t="s">
        <v>849</v>
      </c>
      <c r="B345" t="s">
        <v>850</v>
      </c>
      <c r="C345">
        <v>1998</v>
      </c>
      <c r="D345">
        <v>1</v>
      </c>
      <c r="E345">
        <v>1</v>
      </c>
      <c r="F345">
        <v>74</v>
      </c>
      <c r="G345">
        <v>172</v>
      </c>
      <c r="H345">
        <f t="shared" si="32"/>
        <v>25.013520822065985</v>
      </c>
      <c r="I345">
        <v>90</v>
      </c>
      <c r="J345">
        <v>94</v>
      </c>
      <c r="K345">
        <v>5.45</v>
      </c>
      <c r="L345">
        <v>0</v>
      </c>
      <c r="M345">
        <v>0</v>
      </c>
      <c r="N345">
        <v>0</v>
      </c>
      <c r="O345">
        <v>220</v>
      </c>
      <c r="P345">
        <v>0</v>
      </c>
      <c r="Q345">
        <v>42</v>
      </c>
      <c r="R345">
        <v>96</v>
      </c>
      <c r="S345">
        <v>288</v>
      </c>
      <c r="T345">
        <v>4.8</v>
      </c>
      <c r="U345">
        <v>5.8</v>
      </c>
      <c r="V345">
        <v>1</v>
      </c>
      <c r="W345">
        <f t="shared" si="39"/>
        <v>831.93976332561783</v>
      </c>
      <c r="X345">
        <f t="shared" si="38"/>
        <v>71.48807939561766</v>
      </c>
    </row>
    <row r="346" spans="1:24" x14ac:dyDescent="0.2">
      <c r="A346" t="s">
        <v>598</v>
      </c>
      <c r="B346" t="s">
        <v>599</v>
      </c>
      <c r="C346">
        <v>1966</v>
      </c>
      <c r="D346">
        <v>0</v>
      </c>
      <c r="E346">
        <v>1</v>
      </c>
      <c r="F346">
        <v>60</v>
      </c>
      <c r="G346">
        <v>152</v>
      </c>
      <c r="H346">
        <f t="shared" si="32"/>
        <v>25.969529085872576</v>
      </c>
      <c r="I346">
        <v>85</v>
      </c>
      <c r="J346">
        <v>103</v>
      </c>
      <c r="K346">
        <v>5.57</v>
      </c>
      <c r="L346">
        <v>0</v>
      </c>
      <c r="M346">
        <v>0</v>
      </c>
      <c r="N346">
        <v>1</v>
      </c>
      <c r="O346">
        <v>220</v>
      </c>
      <c r="P346">
        <v>0</v>
      </c>
      <c r="Q346">
        <v>40</v>
      </c>
      <c r="R346">
        <v>23</v>
      </c>
      <c r="S346">
        <v>223</v>
      </c>
      <c r="T346">
        <v>5.3</v>
      </c>
      <c r="U346">
        <v>4.4000000000000004</v>
      </c>
      <c r="V346">
        <v>0</v>
      </c>
      <c r="W346">
        <f t="shared" si="39"/>
        <v>793.49279509187443</v>
      </c>
      <c r="X346">
        <f t="shared" si="38"/>
        <v>44.057628661765563</v>
      </c>
    </row>
    <row r="347" spans="1:24" hidden="1" x14ac:dyDescent="0.2">
      <c r="A347" t="s">
        <v>600</v>
      </c>
      <c r="B347" t="s">
        <v>601</v>
      </c>
      <c r="C347">
        <v>1980</v>
      </c>
      <c r="D347">
        <v>1</v>
      </c>
      <c r="E347">
        <v>1</v>
      </c>
      <c r="F347">
        <v>70</v>
      </c>
      <c r="G347">
        <v>156</v>
      </c>
      <c r="H347">
        <f t="shared" si="32"/>
        <v>28.763971071663377</v>
      </c>
      <c r="I347">
        <v>92</v>
      </c>
      <c r="J347">
        <v>101</v>
      </c>
      <c r="K347">
        <v>5.4</v>
      </c>
      <c r="L347">
        <v>0</v>
      </c>
      <c r="M347">
        <v>0</v>
      </c>
      <c r="N347">
        <v>0</v>
      </c>
      <c r="O347">
        <v>335</v>
      </c>
      <c r="P347">
        <v>0</v>
      </c>
      <c r="Q347">
        <v>47</v>
      </c>
      <c r="R347">
        <v>152</v>
      </c>
      <c r="S347">
        <v>208</v>
      </c>
      <c r="T347">
        <v>6.1</v>
      </c>
      <c r="U347">
        <v>4</v>
      </c>
      <c r="V347">
        <v>1</v>
      </c>
      <c r="W347">
        <f t="shared" si="39"/>
        <v>895.72155586578708</v>
      </c>
      <c r="X347">
        <f t="shared" si="38"/>
        <v>90.697145445710618</v>
      </c>
    </row>
    <row r="348" spans="1:24" x14ac:dyDescent="0.2">
      <c r="A348" t="s">
        <v>602</v>
      </c>
      <c r="B348" t="s">
        <v>603</v>
      </c>
      <c r="C348">
        <v>1973</v>
      </c>
      <c r="D348">
        <v>1</v>
      </c>
      <c r="E348">
        <v>1</v>
      </c>
      <c r="F348">
        <v>62</v>
      </c>
      <c r="G348">
        <v>163</v>
      </c>
      <c r="H348">
        <f t="shared" si="32"/>
        <v>23.335466144755166</v>
      </c>
      <c r="I348">
        <v>86</v>
      </c>
      <c r="J348">
        <v>96</v>
      </c>
      <c r="K348">
        <v>5.62</v>
      </c>
      <c r="L348">
        <v>0</v>
      </c>
      <c r="M348">
        <v>0</v>
      </c>
      <c r="N348">
        <v>0</v>
      </c>
      <c r="O348">
        <v>312</v>
      </c>
      <c r="P348">
        <v>0</v>
      </c>
      <c r="Q348">
        <v>41</v>
      </c>
      <c r="R348">
        <v>31</v>
      </c>
      <c r="S348">
        <v>268</v>
      </c>
      <c r="T348">
        <v>5.8</v>
      </c>
      <c r="U348">
        <v>5.2</v>
      </c>
      <c r="V348">
        <v>0</v>
      </c>
      <c r="W348">
        <f t="shared" si="39"/>
        <v>826.82156108969411</v>
      </c>
      <c r="X348">
        <f t="shared" si="38"/>
        <v>49.882866337375319</v>
      </c>
    </row>
    <row r="349" spans="1:24" x14ac:dyDescent="0.2">
      <c r="A349" t="s">
        <v>604</v>
      </c>
      <c r="B349" t="s">
        <v>605</v>
      </c>
      <c r="C349">
        <v>1974</v>
      </c>
      <c r="D349">
        <v>1</v>
      </c>
      <c r="E349">
        <v>1</v>
      </c>
      <c r="F349">
        <v>59</v>
      </c>
      <c r="G349">
        <v>166</v>
      </c>
      <c r="H349">
        <f t="shared" si="32"/>
        <v>21.410944984758313</v>
      </c>
      <c r="I349">
        <v>77</v>
      </c>
      <c r="J349">
        <v>105</v>
      </c>
      <c r="K349">
        <v>6.19</v>
      </c>
      <c r="L349">
        <v>1</v>
      </c>
      <c r="M349">
        <v>0</v>
      </c>
      <c r="N349">
        <v>1</v>
      </c>
      <c r="O349">
        <v>102</v>
      </c>
      <c r="P349">
        <v>0</v>
      </c>
      <c r="Q349">
        <v>44</v>
      </c>
      <c r="R349">
        <v>24</v>
      </c>
      <c r="S349">
        <v>249</v>
      </c>
      <c r="T349">
        <v>6</v>
      </c>
      <c r="U349">
        <v>4.7</v>
      </c>
      <c r="V349">
        <v>0</v>
      </c>
      <c r="W349">
        <f t="shared" si="39"/>
        <v>661.10552068190236</v>
      </c>
      <c r="X349">
        <f t="shared" si="38"/>
        <v>11.936713458871408</v>
      </c>
    </row>
    <row r="350" spans="1:24" hidden="1" x14ac:dyDescent="0.2">
      <c r="A350" t="s">
        <v>606</v>
      </c>
      <c r="B350" t="s">
        <v>607</v>
      </c>
      <c r="C350">
        <v>1974</v>
      </c>
      <c r="D350">
        <v>1</v>
      </c>
      <c r="E350">
        <v>1</v>
      </c>
      <c r="F350">
        <v>71</v>
      </c>
      <c r="G350">
        <v>165</v>
      </c>
      <c r="H350">
        <f t="shared" si="32"/>
        <v>26.078971533516992</v>
      </c>
      <c r="I350">
        <v>96</v>
      </c>
      <c r="J350">
        <v>97</v>
      </c>
      <c r="K350">
        <v>5.54</v>
      </c>
      <c r="L350">
        <v>0</v>
      </c>
      <c r="M350">
        <v>0</v>
      </c>
      <c r="N350">
        <v>0</v>
      </c>
      <c r="O350">
        <v>207</v>
      </c>
      <c r="P350">
        <v>0</v>
      </c>
      <c r="Q350">
        <v>48</v>
      </c>
      <c r="R350">
        <v>42</v>
      </c>
      <c r="S350">
        <v>212</v>
      </c>
      <c r="T350">
        <v>6.4</v>
      </c>
      <c r="U350">
        <v>4.3</v>
      </c>
      <c r="V350">
        <v>1</v>
      </c>
      <c r="W350">
        <f t="shared" si="39"/>
        <v>884.57112875604548</v>
      </c>
      <c r="X350">
        <f t="shared" si="38"/>
        <v>67.561774690589587</v>
      </c>
    </row>
    <row r="351" spans="1:24" x14ac:dyDescent="0.2">
      <c r="A351" t="s">
        <v>608</v>
      </c>
      <c r="B351" t="s">
        <v>609</v>
      </c>
      <c r="C351">
        <v>1968</v>
      </c>
      <c r="D351">
        <v>1</v>
      </c>
      <c r="E351">
        <v>1</v>
      </c>
      <c r="F351">
        <v>68</v>
      </c>
      <c r="G351">
        <v>173</v>
      </c>
      <c r="H351">
        <f t="shared" si="32"/>
        <v>22.720438370810918</v>
      </c>
      <c r="I351">
        <v>91</v>
      </c>
      <c r="J351">
        <v>101</v>
      </c>
      <c r="K351">
        <v>6.2</v>
      </c>
      <c r="L351">
        <v>0</v>
      </c>
      <c r="M351">
        <v>0</v>
      </c>
      <c r="N351">
        <v>0</v>
      </c>
      <c r="O351">
        <v>156</v>
      </c>
      <c r="P351">
        <v>0</v>
      </c>
      <c r="Q351">
        <v>41</v>
      </c>
      <c r="R351">
        <v>28</v>
      </c>
      <c r="S351">
        <v>263</v>
      </c>
      <c r="T351">
        <v>6.4</v>
      </c>
      <c r="U351">
        <v>5.2</v>
      </c>
      <c r="V351">
        <v>0</v>
      </c>
      <c r="W351">
        <f t="shared" si="39"/>
        <v>816.43647026130748</v>
      </c>
      <c r="X351">
        <f t="shared" si="38"/>
        <v>36.381973361593126</v>
      </c>
    </row>
    <row r="352" spans="1:24" hidden="1" x14ac:dyDescent="0.2">
      <c r="A352" t="s">
        <v>851</v>
      </c>
      <c r="B352" t="s">
        <v>852</v>
      </c>
      <c r="C352">
        <v>1966</v>
      </c>
      <c r="D352">
        <v>1</v>
      </c>
      <c r="E352">
        <v>1</v>
      </c>
      <c r="F352">
        <v>74</v>
      </c>
      <c r="G352">
        <v>173</v>
      </c>
      <c r="H352">
        <f t="shared" si="32"/>
        <v>24.725182932941294</v>
      </c>
      <c r="I352">
        <v>94</v>
      </c>
      <c r="J352">
        <v>105</v>
      </c>
      <c r="K352">
        <v>5.47</v>
      </c>
      <c r="L352">
        <v>0</v>
      </c>
      <c r="M352">
        <v>0</v>
      </c>
      <c r="N352">
        <v>0</v>
      </c>
      <c r="O352">
        <v>478</v>
      </c>
      <c r="P352">
        <v>0</v>
      </c>
      <c r="Q352">
        <v>39</v>
      </c>
      <c r="R352">
        <v>173</v>
      </c>
      <c r="S352">
        <v>313</v>
      </c>
      <c r="T352">
        <v>8</v>
      </c>
      <c r="U352">
        <v>6.4</v>
      </c>
      <c r="V352">
        <v>1</v>
      </c>
      <c r="W352">
        <f t="shared" si="39"/>
        <v>952.25984679636917</v>
      </c>
      <c r="X352">
        <f t="shared" si="38"/>
        <v>90.495225323567553</v>
      </c>
    </row>
    <row r="353" spans="1:24" x14ac:dyDescent="0.2">
      <c r="A353" t="s">
        <v>610</v>
      </c>
      <c r="B353" t="s">
        <v>611</v>
      </c>
      <c r="C353">
        <v>1976</v>
      </c>
      <c r="D353">
        <v>0</v>
      </c>
      <c r="E353">
        <v>1</v>
      </c>
      <c r="F353">
        <v>61</v>
      </c>
      <c r="G353">
        <v>144</v>
      </c>
      <c r="H353">
        <f t="shared" si="32"/>
        <v>29.41743827160494</v>
      </c>
      <c r="I353">
        <v>85</v>
      </c>
      <c r="J353">
        <v>83</v>
      </c>
      <c r="K353">
        <v>5.64</v>
      </c>
      <c r="L353">
        <v>0</v>
      </c>
      <c r="M353">
        <v>0</v>
      </c>
      <c r="N353">
        <v>0</v>
      </c>
      <c r="O353">
        <v>161</v>
      </c>
      <c r="P353">
        <v>0</v>
      </c>
      <c r="Q353">
        <v>48</v>
      </c>
      <c r="R353">
        <v>22</v>
      </c>
      <c r="S353">
        <v>276</v>
      </c>
      <c r="T353">
        <v>4.5999999999999996</v>
      </c>
      <c r="U353">
        <v>5.5</v>
      </c>
      <c r="V353">
        <v>0</v>
      </c>
      <c r="W353">
        <f t="shared" si="39"/>
        <v>748.60331233879481</v>
      </c>
      <c r="X353">
        <f t="shared" si="38"/>
        <v>47.775737996440547</v>
      </c>
    </row>
    <row r="354" spans="1:24" hidden="1" x14ac:dyDescent="0.2">
      <c r="A354" t="s">
        <v>612</v>
      </c>
      <c r="B354" t="s">
        <v>613</v>
      </c>
      <c r="C354">
        <v>1993</v>
      </c>
      <c r="D354">
        <v>1</v>
      </c>
      <c r="E354">
        <v>1</v>
      </c>
      <c r="F354">
        <v>83</v>
      </c>
      <c r="G354">
        <v>171</v>
      </c>
      <c r="H354">
        <f t="shared" si="32"/>
        <v>28.384802161348794</v>
      </c>
      <c r="I354">
        <v>94</v>
      </c>
      <c r="J354">
        <v>92</v>
      </c>
      <c r="K354">
        <v>5.5</v>
      </c>
      <c r="L354">
        <v>0</v>
      </c>
      <c r="M354">
        <v>0</v>
      </c>
      <c r="N354">
        <v>0</v>
      </c>
      <c r="O354">
        <v>338</v>
      </c>
      <c r="P354">
        <v>0</v>
      </c>
      <c r="Q354">
        <v>39</v>
      </c>
      <c r="R354">
        <v>80</v>
      </c>
      <c r="S354">
        <v>238</v>
      </c>
      <c r="T354">
        <v>4.9000000000000004</v>
      </c>
      <c r="U354">
        <v>4.8</v>
      </c>
      <c r="V354">
        <v>1</v>
      </c>
      <c r="W354">
        <f t="shared" si="39"/>
        <v>907.25860544537863</v>
      </c>
      <c r="X354">
        <f t="shared" si="38"/>
        <v>86.739795369985671</v>
      </c>
    </row>
    <row r="355" spans="1:24" x14ac:dyDescent="0.2">
      <c r="A355" t="s">
        <v>614</v>
      </c>
      <c r="B355" t="s">
        <v>615</v>
      </c>
      <c r="C355">
        <v>1994</v>
      </c>
      <c r="D355">
        <v>1</v>
      </c>
      <c r="E355">
        <v>1</v>
      </c>
      <c r="F355">
        <v>72</v>
      </c>
      <c r="G355">
        <v>169</v>
      </c>
      <c r="H355">
        <f t="shared" si="32"/>
        <v>25.209201358495854</v>
      </c>
      <c r="I355">
        <v>93</v>
      </c>
      <c r="J355">
        <v>92</v>
      </c>
      <c r="K355">
        <v>5.4</v>
      </c>
      <c r="L355">
        <v>0</v>
      </c>
      <c r="M355">
        <v>0</v>
      </c>
      <c r="N355">
        <v>0</v>
      </c>
      <c r="O355">
        <v>284</v>
      </c>
      <c r="P355">
        <v>0</v>
      </c>
      <c r="Q355">
        <v>47</v>
      </c>
      <c r="R355">
        <v>121</v>
      </c>
      <c r="S355">
        <v>249</v>
      </c>
      <c r="T355">
        <v>6.7</v>
      </c>
      <c r="U355">
        <v>4.9000000000000004</v>
      </c>
      <c r="V355">
        <v>0</v>
      </c>
      <c r="W355">
        <f>LN(O355*J355/2)*I355</f>
        <v>881.41825402247798</v>
      </c>
      <c r="X355">
        <f t="shared" si="38"/>
        <v>81.979054324347402</v>
      </c>
    </row>
    <row r="356" spans="1:24" x14ac:dyDescent="0.2">
      <c r="A356" t="s">
        <v>616</v>
      </c>
      <c r="B356" t="s">
        <v>617</v>
      </c>
      <c r="C356">
        <v>1982</v>
      </c>
      <c r="D356">
        <v>0</v>
      </c>
      <c r="E356">
        <v>1</v>
      </c>
      <c r="F356">
        <v>50</v>
      </c>
      <c r="G356">
        <v>153</v>
      </c>
      <c r="H356">
        <f t="shared" si="32"/>
        <v>21.35930624973301</v>
      </c>
      <c r="I356">
        <v>82</v>
      </c>
      <c r="J356">
        <v>97</v>
      </c>
      <c r="K356">
        <v>5.16</v>
      </c>
      <c r="L356">
        <v>0</v>
      </c>
      <c r="M356">
        <v>0</v>
      </c>
      <c r="N356">
        <v>0</v>
      </c>
      <c r="O356">
        <v>108</v>
      </c>
      <c r="P356">
        <v>0</v>
      </c>
      <c r="Q356">
        <v>50</v>
      </c>
      <c r="R356">
        <v>34</v>
      </c>
      <c r="S356">
        <v>264</v>
      </c>
      <c r="T356">
        <v>3.2</v>
      </c>
      <c r="U356">
        <v>5.2</v>
      </c>
      <c r="V356">
        <v>0</v>
      </c>
      <c r="W356">
        <f>LN(O356*J356/2)*I356</f>
        <v>702.22299205554793</v>
      </c>
      <c r="X356">
        <f t="shared" si="38"/>
        <v>19.215645223524003</v>
      </c>
    </row>
    <row r="357" spans="1:24" x14ac:dyDescent="0.2">
      <c r="A357" t="s">
        <v>618</v>
      </c>
      <c r="B357" t="s">
        <v>619</v>
      </c>
      <c r="C357">
        <v>1983</v>
      </c>
      <c r="D357">
        <v>1</v>
      </c>
      <c r="E357">
        <v>1</v>
      </c>
      <c r="F357">
        <v>62</v>
      </c>
      <c r="G357">
        <v>160</v>
      </c>
      <c r="H357">
        <f t="shared" si="32"/>
        <v>24.218749999999996</v>
      </c>
      <c r="I357">
        <v>83</v>
      </c>
      <c r="J357">
        <v>94</v>
      </c>
      <c r="K357">
        <v>5.28</v>
      </c>
      <c r="L357">
        <v>0</v>
      </c>
      <c r="M357">
        <v>0</v>
      </c>
      <c r="N357">
        <v>0</v>
      </c>
      <c r="O357">
        <v>148</v>
      </c>
      <c r="P357">
        <v>0</v>
      </c>
      <c r="Q357">
        <v>46</v>
      </c>
      <c r="R357">
        <v>23</v>
      </c>
      <c r="S357">
        <v>275</v>
      </c>
      <c r="T357">
        <v>5.5</v>
      </c>
      <c r="U357">
        <v>5.3</v>
      </c>
      <c r="V357">
        <v>0</v>
      </c>
      <c r="W357">
        <f t="shared" ref="W357:W363" si="40">LN(O357*J357/2)*I357</f>
        <v>734.33086966435644</v>
      </c>
      <c r="X357">
        <f t="shared" si="38"/>
        <v>27.568537240581051</v>
      </c>
    </row>
    <row r="358" spans="1:24" x14ac:dyDescent="0.2">
      <c r="A358" t="s">
        <v>620</v>
      </c>
      <c r="B358" t="s">
        <v>621</v>
      </c>
      <c r="C358">
        <v>1984</v>
      </c>
      <c r="D358">
        <v>1</v>
      </c>
      <c r="E358">
        <v>1</v>
      </c>
      <c r="F358">
        <v>66</v>
      </c>
      <c r="G358">
        <v>162</v>
      </c>
      <c r="H358">
        <f t="shared" si="32"/>
        <v>25.14860539551897</v>
      </c>
      <c r="I358">
        <v>81</v>
      </c>
      <c r="J358">
        <v>88</v>
      </c>
      <c r="K358">
        <v>5</v>
      </c>
      <c r="L358">
        <v>0</v>
      </c>
      <c r="M358">
        <v>0</v>
      </c>
      <c r="N358">
        <v>0</v>
      </c>
      <c r="O358">
        <v>75</v>
      </c>
      <c r="P358">
        <v>0</v>
      </c>
      <c r="Q358">
        <v>62</v>
      </c>
      <c r="R358">
        <v>25</v>
      </c>
      <c r="S358">
        <v>234</v>
      </c>
      <c r="T358">
        <v>6.3</v>
      </c>
      <c r="U358">
        <v>4.4000000000000004</v>
      </c>
      <c r="V358">
        <v>0</v>
      </c>
      <c r="W358">
        <f t="shared" si="40"/>
        <v>656.23589754382033</v>
      </c>
      <c r="X358">
        <f t="shared" si="38"/>
        <v>17.790228327944455</v>
      </c>
    </row>
    <row r="359" spans="1:24" x14ac:dyDescent="0.2">
      <c r="A359" t="s">
        <v>622</v>
      </c>
      <c r="B359" t="s">
        <v>623</v>
      </c>
      <c r="C359">
        <v>1985</v>
      </c>
      <c r="D359">
        <v>1</v>
      </c>
      <c r="E359">
        <v>1</v>
      </c>
      <c r="F359">
        <v>63</v>
      </c>
      <c r="G359">
        <v>161</v>
      </c>
      <c r="H359">
        <f t="shared" si="32"/>
        <v>24.304617877396701</v>
      </c>
      <c r="I359">
        <v>88</v>
      </c>
      <c r="J359">
        <v>97</v>
      </c>
      <c r="K359">
        <v>5.7</v>
      </c>
      <c r="L359">
        <v>0</v>
      </c>
      <c r="M359">
        <v>0</v>
      </c>
      <c r="N359">
        <v>0</v>
      </c>
      <c r="O359">
        <v>143</v>
      </c>
      <c r="P359">
        <v>0</v>
      </c>
      <c r="Q359">
        <v>52</v>
      </c>
      <c r="R359">
        <v>42</v>
      </c>
      <c r="S359">
        <v>270</v>
      </c>
      <c r="T359">
        <v>5.6</v>
      </c>
      <c r="U359">
        <v>5.3</v>
      </c>
      <c r="V359">
        <v>0</v>
      </c>
      <c r="W359">
        <f t="shared" si="40"/>
        <v>778.30794168189436</v>
      </c>
      <c r="X359">
        <f t="shared" si="38"/>
        <v>42.814576952489254</v>
      </c>
    </row>
    <row r="360" spans="1:24" x14ac:dyDescent="0.2">
      <c r="A360" t="s">
        <v>624</v>
      </c>
      <c r="B360" t="s">
        <v>625</v>
      </c>
      <c r="C360">
        <v>1983</v>
      </c>
      <c r="D360">
        <v>1</v>
      </c>
      <c r="E360">
        <v>1</v>
      </c>
      <c r="F360">
        <v>81</v>
      </c>
      <c r="G360">
        <v>166</v>
      </c>
      <c r="H360">
        <f t="shared" si="32"/>
        <v>29.3946871824648</v>
      </c>
      <c r="I360">
        <v>98</v>
      </c>
      <c r="J360">
        <v>99</v>
      </c>
      <c r="K360">
        <v>5.7</v>
      </c>
      <c r="L360">
        <v>0</v>
      </c>
      <c r="M360">
        <v>0</v>
      </c>
      <c r="N360">
        <v>1</v>
      </c>
      <c r="O360">
        <v>142</v>
      </c>
      <c r="P360">
        <v>0</v>
      </c>
      <c r="Q360">
        <v>54</v>
      </c>
      <c r="R360">
        <v>112</v>
      </c>
      <c r="S360">
        <v>273</v>
      </c>
      <c r="T360">
        <v>5.8</v>
      </c>
      <c r="U360">
        <v>5.5</v>
      </c>
      <c r="V360">
        <v>0</v>
      </c>
      <c r="W360">
        <f t="shared" si="40"/>
        <v>868.06437326323874</v>
      </c>
      <c r="X360">
        <f t="shared" si="38"/>
        <v>83.83018474157744</v>
      </c>
    </row>
    <row r="361" spans="1:24" x14ac:dyDescent="0.2">
      <c r="A361" t="s">
        <v>626</v>
      </c>
      <c r="B361" t="s">
        <v>627</v>
      </c>
      <c r="C361">
        <v>1987</v>
      </c>
      <c r="D361">
        <v>0</v>
      </c>
      <c r="E361">
        <v>1</v>
      </c>
      <c r="F361">
        <v>58</v>
      </c>
      <c r="G361">
        <v>161</v>
      </c>
      <c r="H361">
        <f t="shared" si="32"/>
        <v>22.375679950619187</v>
      </c>
      <c r="I361">
        <v>79</v>
      </c>
      <c r="J361">
        <v>110</v>
      </c>
      <c r="K361">
        <v>5.47</v>
      </c>
      <c r="L361">
        <v>0</v>
      </c>
      <c r="M361">
        <v>0</v>
      </c>
      <c r="N361">
        <v>0</v>
      </c>
      <c r="O361">
        <v>75</v>
      </c>
      <c r="P361">
        <v>0</v>
      </c>
      <c r="Q361">
        <v>84</v>
      </c>
      <c r="R361">
        <v>19</v>
      </c>
      <c r="S361">
        <v>223</v>
      </c>
      <c r="T361">
        <v>6.7</v>
      </c>
      <c r="U361">
        <v>4.4000000000000004</v>
      </c>
      <c r="V361">
        <v>0</v>
      </c>
      <c r="W361">
        <f t="shared" si="40"/>
        <v>657.66088260273375</v>
      </c>
      <c r="X361">
        <f>100*EXP(0.953*LN(O361)+0.139*H361+0.718*LN(R361)+0.053*I361-15.745)/(1+EXP(0.953*LN(O361)+0.139*H361+0.718*LN(R361)+0.053*I361-15.745))</f>
        <v>9.8047736577430644</v>
      </c>
    </row>
    <row r="362" spans="1:24" x14ac:dyDescent="0.2">
      <c r="A362" t="s">
        <v>628</v>
      </c>
      <c r="B362" t="s">
        <v>629</v>
      </c>
      <c r="C362">
        <v>1985</v>
      </c>
      <c r="D362">
        <v>0</v>
      </c>
      <c r="E362">
        <v>1</v>
      </c>
      <c r="F362">
        <v>45</v>
      </c>
      <c r="G362">
        <v>150</v>
      </c>
      <c r="H362">
        <f t="shared" si="32"/>
        <v>20</v>
      </c>
      <c r="I362">
        <v>67</v>
      </c>
      <c r="J362">
        <v>94</v>
      </c>
      <c r="K362">
        <v>5.5</v>
      </c>
      <c r="L362">
        <v>0</v>
      </c>
      <c r="M362">
        <v>0</v>
      </c>
      <c r="N362">
        <v>0</v>
      </c>
      <c r="O362">
        <v>61</v>
      </c>
      <c r="P362">
        <v>0</v>
      </c>
      <c r="Q362">
        <v>51</v>
      </c>
      <c r="R362">
        <v>25</v>
      </c>
      <c r="S362">
        <v>224</v>
      </c>
      <c r="T362">
        <v>5.0999999999999996</v>
      </c>
      <c r="U362">
        <v>4.3</v>
      </c>
      <c r="V362">
        <v>0</v>
      </c>
      <c r="W362">
        <f t="shared" si="40"/>
        <v>533.38843821418573</v>
      </c>
      <c r="X362">
        <f t="shared" si="38"/>
        <v>3.9727083796229059</v>
      </c>
    </row>
    <row r="363" spans="1:24" x14ac:dyDescent="0.2">
      <c r="A363" t="s">
        <v>630</v>
      </c>
      <c r="B363" t="s">
        <v>631</v>
      </c>
      <c r="C363">
        <v>1984</v>
      </c>
      <c r="D363">
        <v>0</v>
      </c>
      <c r="E363">
        <v>1</v>
      </c>
      <c r="F363">
        <v>61</v>
      </c>
      <c r="G363">
        <v>154</v>
      </c>
      <c r="H363">
        <f t="shared" si="32"/>
        <v>25.72103221453871</v>
      </c>
      <c r="I363">
        <v>81</v>
      </c>
      <c r="J363">
        <v>105</v>
      </c>
      <c r="K363">
        <v>5.61</v>
      </c>
      <c r="L363">
        <v>0</v>
      </c>
      <c r="M363">
        <v>0</v>
      </c>
      <c r="N363">
        <v>0</v>
      </c>
      <c r="O363">
        <v>95</v>
      </c>
      <c r="P363">
        <v>0</v>
      </c>
      <c r="Q363">
        <v>53</v>
      </c>
      <c r="R363">
        <v>31</v>
      </c>
      <c r="S363">
        <v>265</v>
      </c>
      <c r="T363">
        <v>5.9</v>
      </c>
      <c r="U363">
        <v>5.2</v>
      </c>
      <c r="V363">
        <v>0</v>
      </c>
      <c r="W363">
        <f t="shared" si="40"/>
        <v>689.68989495704761</v>
      </c>
      <c r="X363">
        <f t="shared" si="38"/>
        <v>25.515042127159539</v>
      </c>
    </row>
    <row r="364" spans="1:24" x14ac:dyDescent="0.2">
      <c r="A364" t="s">
        <v>632</v>
      </c>
      <c r="B364" t="s">
        <v>633</v>
      </c>
      <c r="C364">
        <v>1968</v>
      </c>
      <c r="D364">
        <v>0</v>
      </c>
      <c r="E364">
        <v>1</v>
      </c>
      <c r="F364">
        <v>52</v>
      </c>
      <c r="G364">
        <v>159</v>
      </c>
      <c r="H364">
        <f t="shared" si="32"/>
        <v>20.568806613662431</v>
      </c>
      <c r="I364">
        <v>80</v>
      </c>
      <c r="J364">
        <v>99</v>
      </c>
      <c r="K364">
        <v>6.2</v>
      </c>
      <c r="L364">
        <v>1</v>
      </c>
      <c r="M364">
        <v>0</v>
      </c>
      <c r="N364">
        <v>0</v>
      </c>
      <c r="O364">
        <v>55</v>
      </c>
      <c r="P364">
        <v>1</v>
      </c>
      <c r="Q364">
        <v>40</v>
      </c>
      <c r="R364">
        <v>10</v>
      </c>
      <c r="S364">
        <v>258</v>
      </c>
      <c r="T364">
        <v>4.3</v>
      </c>
      <c r="U364">
        <v>5</v>
      </c>
      <c r="V364">
        <v>0</v>
      </c>
      <c r="W364">
        <f>LN(O364*J364/2)*I364</f>
        <v>632.74446838456925</v>
      </c>
      <c r="X364">
        <f t="shared" si="38"/>
        <v>4.0167859353710389</v>
      </c>
    </row>
    <row r="365" spans="1:24" x14ac:dyDescent="0.2">
      <c r="A365" t="s">
        <v>634</v>
      </c>
      <c r="B365" t="s">
        <v>635</v>
      </c>
      <c r="C365">
        <v>1988</v>
      </c>
      <c r="D365">
        <v>0</v>
      </c>
      <c r="E365">
        <v>1</v>
      </c>
      <c r="F365">
        <v>49</v>
      </c>
      <c r="G365">
        <v>147</v>
      </c>
      <c r="H365">
        <f t="shared" si="32"/>
        <v>22.67573696145125</v>
      </c>
      <c r="I365">
        <v>73</v>
      </c>
      <c r="J365">
        <v>195</v>
      </c>
      <c r="K365">
        <v>8.3000000000000007</v>
      </c>
      <c r="L365">
        <v>0</v>
      </c>
      <c r="M365">
        <v>0</v>
      </c>
      <c r="N365">
        <v>1</v>
      </c>
      <c r="O365">
        <v>197</v>
      </c>
      <c r="P365">
        <v>0</v>
      </c>
      <c r="Q365">
        <v>35</v>
      </c>
      <c r="R365">
        <v>40</v>
      </c>
      <c r="S365">
        <v>303</v>
      </c>
      <c r="T365">
        <v>4.7</v>
      </c>
      <c r="U365">
        <v>6.2</v>
      </c>
      <c r="V365">
        <v>0</v>
      </c>
      <c r="W365">
        <f>LN(O365*J365/2)*I365</f>
        <v>720.0030957921507</v>
      </c>
      <c r="X365">
        <f t="shared" si="38"/>
        <v>26.104119195436503</v>
      </c>
    </row>
    <row r="366" spans="1:24" x14ac:dyDescent="0.2">
      <c r="A366" t="s">
        <v>636</v>
      </c>
      <c r="B366" t="s">
        <v>637</v>
      </c>
      <c r="C366">
        <v>1993</v>
      </c>
      <c r="D366">
        <v>0</v>
      </c>
      <c r="E366">
        <v>1</v>
      </c>
      <c r="F366">
        <v>56</v>
      </c>
      <c r="G366">
        <v>153</v>
      </c>
      <c r="H366">
        <f t="shared" si="32"/>
        <v>23.92242299970097</v>
      </c>
      <c r="I366">
        <v>79</v>
      </c>
      <c r="J366">
        <v>81</v>
      </c>
      <c r="K366">
        <v>5</v>
      </c>
      <c r="L366">
        <v>0</v>
      </c>
      <c r="M366">
        <v>0</v>
      </c>
      <c r="N366">
        <v>0</v>
      </c>
      <c r="O366">
        <v>73</v>
      </c>
      <c r="P366">
        <v>0</v>
      </c>
      <c r="Q366">
        <v>58</v>
      </c>
      <c r="R366">
        <v>30</v>
      </c>
      <c r="S366">
        <v>251</v>
      </c>
      <c r="T366">
        <v>4.9000000000000004</v>
      </c>
      <c r="U366">
        <v>4.7</v>
      </c>
      <c r="V366">
        <v>0</v>
      </c>
      <c r="W366">
        <f t="shared" ref="W366:W378" si="41">LN(O366*J366/2)*I366</f>
        <v>631.34915180560984</v>
      </c>
      <c r="X366">
        <f t="shared" si="38"/>
        <v>15.421523764018609</v>
      </c>
    </row>
    <row r="367" spans="1:24" x14ac:dyDescent="0.2">
      <c r="A367" t="s">
        <v>853</v>
      </c>
      <c r="B367" t="s">
        <v>343</v>
      </c>
      <c r="C367">
        <v>1982</v>
      </c>
      <c r="D367">
        <v>1</v>
      </c>
      <c r="E367">
        <v>1</v>
      </c>
      <c r="F367">
        <v>79</v>
      </c>
      <c r="G367">
        <v>169</v>
      </c>
      <c r="H367">
        <f t="shared" si="32"/>
        <v>27.660095935016283</v>
      </c>
      <c r="I367">
        <v>101</v>
      </c>
      <c r="J367">
        <v>94</v>
      </c>
      <c r="K367">
        <v>5.91</v>
      </c>
      <c r="L367">
        <v>0</v>
      </c>
      <c r="M367">
        <v>0</v>
      </c>
      <c r="N367">
        <v>0</v>
      </c>
      <c r="O367">
        <v>244</v>
      </c>
      <c r="P367">
        <v>0</v>
      </c>
      <c r="Q367">
        <v>64</v>
      </c>
      <c r="R367">
        <v>122</v>
      </c>
      <c r="S367">
        <v>269</v>
      </c>
      <c r="T367">
        <v>5.5</v>
      </c>
      <c r="U367">
        <v>4.9000000000000004</v>
      </c>
      <c r="V367">
        <v>0</v>
      </c>
      <c r="W367">
        <f t="shared" si="41"/>
        <v>944.07889852732933</v>
      </c>
      <c r="X367">
        <f t="shared" si="38"/>
        <v>89.4809867971274</v>
      </c>
    </row>
    <row r="368" spans="1:24" hidden="1" x14ac:dyDescent="0.2">
      <c r="A368" t="s">
        <v>854</v>
      </c>
      <c r="B368" t="s">
        <v>855</v>
      </c>
      <c r="C368">
        <v>1980</v>
      </c>
      <c r="D368">
        <v>1</v>
      </c>
      <c r="E368">
        <v>1</v>
      </c>
      <c r="F368">
        <v>68</v>
      </c>
      <c r="G368">
        <v>168</v>
      </c>
      <c r="H368">
        <f t="shared" si="32"/>
        <v>24.092970521541954</v>
      </c>
      <c r="I368">
        <v>94</v>
      </c>
      <c r="J368">
        <v>112</v>
      </c>
      <c r="K368">
        <v>6.29</v>
      </c>
      <c r="L368">
        <v>0</v>
      </c>
      <c r="M368">
        <v>0</v>
      </c>
      <c r="N368">
        <v>0</v>
      </c>
      <c r="O368">
        <v>430</v>
      </c>
      <c r="P368">
        <v>0</v>
      </c>
      <c r="Q368">
        <v>39</v>
      </c>
      <c r="R368">
        <v>202</v>
      </c>
      <c r="S368">
        <v>268</v>
      </c>
      <c r="T368">
        <v>5.8</v>
      </c>
      <c r="U368">
        <v>5.2</v>
      </c>
      <c r="V368">
        <v>1</v>
      </c>
      <c r="W368">
        <f t="shared" si="41"/>
        <v>948.37886854573912</v>
      </c>
      <c r="X368">
        <f t="shared" si="38"/>
        <v>89.807775320186266</v>
      </c>
    </row>
    <row r="369" spans="1:24" x14ac:dyDescent="0.2">
      <c r="A369" t="s">
        <v>638</v>
      </c>
      <c r="B369" t="s">
        <v>639</v>
      </c>
      <c r="C369">
        <v>1981</v>
      </c>
      <c r="D369">
        <v>0</v>
      </c>
      <c r="E369">
        <v>1</v>
      </c>
      <c r="F369">
        <v>54</v>
      </c>
      <c r="G369">
        <v>152</v>
      </c>
      <c r="H369">
        <f t="shared" si="32"/>
        <v>23.372576177285318</v>
      </c>
      <c r="I369">
        <v>82</v>
      </c>
      <c r="J369">
        <v>92</v>
      </c>
      <c r="K369">
        <v>5.63</v>
      </c>
      <c r="L369">
        <v>0</v>
      </c>
      <c r="M369">
        <v>0</v>
      </c>
      <c r="N369">
        <v>0</v>
      </c>
      <c r="O369">
        <v>145</v>
      </c>
      <c r="P369">
        <v>0</v>
      </c>
      <c r="Q369">
        <v>61</v>
      </c>
      <c r="R369">
        <v>9</v>
      </c>
      <c r="S369">
        <v>248</v>
      </c>
      <c r="T369">
        <v>5.2</v>
      </c>
      <c r="U369">
        <v>4.5999999999999996</v>
      </c>
      <c r="V369">
        <v>0</v>
      </c>
      <c r="W369">
        <f t="shared" si="41"/>
        <v>722.04076139059293</v>
      </c>
      <c r="X369">
        <f>100*EXP(0.953*LN(O369)+0.139*H369+0.718*LN(R369)+0.053*I369-15.745)/(1+EXP(0.953*LN(O369)+0.139*H369+0.718*LN(R369)+0.053*I369-15.745))</f>
        <v>13.826479231234206</v>
      </c>
    </row>
    <row r="370" spans="1:24" x14ac:dyDescent="0.2">
      <c r="A370" t="s">
        <v>640</v>
      </c>
      <c r="B370" t="s">
        <v>641</v>
      </c>
      <c r="C370">
        <v>1991</v>
      </c>
      <c r="D370">
        <v>0</v>
      </c>
      <c r="E370">
        <v>1</v>
      </c>
      <c r="F370">
        <v>54</v>
      </c>
      <c r="G370">
        <v>155</v>
      </c>
      <c r="H370">
        <f t="shared" si="32"/>
        <v>22.476586888657646</v>
      </c>
      <c r="I370">
        <v>76</v>
      </c>
      <c r="J370">
        <v>72</v>
      </c>
      <c r="K370">
        <v>5.24</v>
      </c>
      <c r="L370">
        <v>0</v>
      </c>
      <c r="M370">
        <v>0</v>
      </c>
      <c r="N370">
        <v>0</v>
      </c>
      <c r="O370">
        <v>76</v>
      </c>
      <c r="P370">
        <v>0</v>
      </c>
      <c r="Q370">
        <v>73</v>
      </c>
      <c r="R370">
        <v>11</v>
      </c>
      <c r="S370">
        <v>227</v>
      </c>
      <c r="T370">
        <v>5.3</v>
      </c>
      <c r="U370">
        <v>4.7</v>
      </c>
      <c r="V370">
        <v>0</v>
      </c>
      <c r="W370">
        <f t="shared" si="41"/>
        <v>601.48317318442548</v>
      </c>
      <c r="X370">
        <f t="shared" ref="X370:X390" si="42">100*EXP(0.953*LN(O370)+0.139*H370+0.718*LN(R370)+0.053*I370-15.745)/(1+EXP(0.953*LN(O370)+0.139*H370+0.718*LN(R370)+0.053*I370-15.745))</f>
        <v>6.0433401678516168</v>
      </c>
    </row>
    <row r="371" spans="1:24" hidden="1" x14ac:dyDescent="0.2">
      <c r="A371" t="s">
        <v>856</v>
      </c>
      <c r="B371" t="s">
        <v>857</v>
      </c>
      <c r="C371">
        <v>1985</v>
      </c>
      <c r="D371">
        <v>1</v>
      </c>
      <c r="E371">
        <v>1</v>
      </c>
      <c r="F371">
        <v>60</v>
      </c>
      <c r="G371">
        <v>168</v>
      </c>
      <c r="H371">
        <f t="shared" si="32"/>
        <v>21.258503401360546</v>
      </c>
      <c r="I371">
        <v>86</v>
      </c>
      <c r="J371">
        <v>92</v>
      </c>
      <c r="K371">
        <v>5.04</v>
      </c>
      <c r="L371">
        <v>0</v>
      </c>
      <c r="M371">
        <v>0</v>
      </c>
      <c r="N371">
        <v>0</v>
      </c>
      <c r="O371">
        <v>163</v>
      </c>
      <c r="P371">
        <v>0</v>
      </c>
      <c r="Q371">
        <v>39</v>
      </c>
      <c r="R371">
        <v>26</v>
      </c>
      <c r="S371">
        <v>258</v>
      </c>
      <c r="T371">
        <v>5.7</v>
      </c>
      <c r="U371">
        <v>5.0999999999999996</v>
      </c>
      <c r="V371">
        <v>1</v>
      </c>
      <c r="W371">
        <f t="shared" si="41"/>
        <v>767.32567736744363</v>
      </c>
      <c r="X371">
        <f t="shared" si="42"/>
        <v>26.14567529959514</v>
      </c>
    </row>
    <row r="372" spans="1:24" hidden="1" x14ac:dyDescent="0.2">
      <c r="A372" t="s">
        <v>858</v>
      </c>
      <c r="B372" t="s">
        <v>859</v>
      </c>
      <c r="C372">
        <v>1992</v>
      </c>
      <c r="D372">
        <v>1</v>
      </c>
      <c r="E372">
        <v>1</v>
      </c>
      <c r="F372">
        <v>75</v>
      </c>
      <c r="G372">
        <v>159</v>
      </c>
      <c r="H372">
        <f t="shared" si="32"/>
        <v>29.666548000474663</v>
      </c>
      <c r="I372">
        <v>96</v>
      </c>
      <c r="J372">
        <v>101</v>
      </c>
      <c r="K372">
        <v>5.38</v>
      </c>
      <c r="L372">
        <v>0</v>
      </c>
      <c r="M372">
        <v>0</v>
      </c>
      <c r="N372">
        <v>0</v>
      </c>
      <c r="O372">
        <v>332</v>
      </c>
      <c r="P372">
        <v>0</v>
      </c>
      <c r="Q372">
        <v>32</v>
      </c>
      <c r="R372">
        <v>62</v>
      </c>
      <c r="S372">
        <v>258</v>
      </c>
      <c r="T372">
        <v>7.4</v>
      </c>
      <c r="U372">
        <v>5.0999999999999996</v>
      </c>
      <c r="V372">
        <v>1</v>
      </c>
      <c r="W372">
        <f t="shared" si="41"/>
        <v>933.80239729898904</v>
      </c>
      <c r="X372">
        <f t="shared" si="42"/>
        <v>87.677368573234219</v>
      </c>
    </row>
    <row r="373" spans="1:24" x14ac:dyDescent="0.2">
      <c r="A373" t="s">
        <v>642</v>
      </c>
      <c r="B373" t="s">
        <v>643</v>
      </c>
      <c r="C373">
        <v>1992</v>
      </c>
      <c r="D373">
        <v>1</v>
      </c>
      <c r="E373">
        <v>1</v>
      </c>
      <c r="F373">
        <v>71</v>
      </c>
      <c r="G373">
        <v>165</v>
      </c>
      <c r="H373">
        <f t="shared" si="32"/>
        <v>26.078971533516992</v>
      </c>
      <c r="I373">
        <v>87</v>
      </c>
      <c r="J373">
        <v>90</v>
      </c>
      <c r="K373">
        <v>5.4</v>
      </c>
      <c r="L373">
        <v>0</v>
      </c>
      <c r="M373">
        <v>0</v>
      </c>
      <c r="N373">
        <v>0</v>
      </c>
      <c r="O373">
        <v>133</v>
      </c>
      <c r="P373">
        <v>0</v>
      </c>
      <c r="Q373">
        <v>75</v>
      </c>
      <c r="R373">
        <v>58</v>
      </c>
      <c r="S373">
        <v>279</v>
      </c>
      <c r="T373">
        <v>5.9</v>
      </c>
      <c r="U373">
        <v>5.6</v>
      </c>
      <c r="V373">
        <v>0</v>
      </c>
      <c r="W373">
        <f t="shared" si="41"/>
        <v>756.64001076531042</v>
      </c>
      <c r="X373">
        <f t="shared" si="42"/>
        <v>51.671323208171366</v>
      </c>
    </row>
    <row r="374" spans="1:24" x14ac:dyDescent="0.2">
      <c r="A374" t="s">
        <v>644</v>
      </c>
      <c r="B374" t="s">
        <v>645</v>
      </c>
      <c r="C374">
        <v>1979</v>
      </c>
      <c r="D374">
        <v>0</v>
      </c>
      <c r="E374">
        <v>1</v>
      </c>
      <c r="F374">
        <v>52</v>
      </c>
      <c r="G374">
        <v>151</v>
      </c>
      <c r="H374">
        <f t="shared" si="32"/>
        <v>22.806017279943863</v>
      </c>
      <c r="I374">
        <v>76</v>
      </c>
      <c r="J374">
        <v>81</v>
      </c>
      <c r="K374">
        <v>4.9400000000000004</v>
      </c>
      <c r="L374">
        <v>0</v>
      </c>
      <c r="M374">
        <v>0</v>
      </c>
      <c r="N374">
        <v>0</v>
      </c>
      <c r="O374">
        <v>96</v>
      </c>
      <c r="P374">
        <v>0</v>
      </c>
      <c r="Q374">
        <v>61</v>
      </c>
      <c r="R374">
        <v>19</v>
      </c>
      <c r="S374">
        <v>228</v>
      </c>
      <c r="T374">
        <v>4.5</v>
      </c>
      <c r="U374">
        <v>4.8</v>
      </c>
      <c r="V374">
        <v>0</v>
      </c>
      <c r="W374">
        <f t="shared" si="41"/>
        <v>628.18941258410496</v>
      </c>
      <c r="X374">
        <f t="shared" si="42"/>
        <v>11.075693520081906</v>
      </c>
    </row>
    <row r="375" spans="1:24" x14ac:dyDescent="0.2">
      <c r="A375" t="s">
        <v>646</v>
      </c>
      <c r="B375" t="s">
        <v>647</v>
      </c>
      <c r="C375">
        <v>1986</v>
      </c>
      <c r="D375">
        <v>1</v>
      </c>
      <c r="E375">
        <v>1</v>
      </c>
      <c r="F375">
        <v>72</v>
      </c>
      <c r="G375">
        <v>165</v>
      </c>
      <c r="H375">
        <f t="shared" si="32"/>
        <v>26.446280991735541</v>
      </c>
      <c r="I375">
        <v>92</v>
      </c>
      <c r="J375">
        <v>97</v>
      </c>
      <c r="K375">
        <v>5.9</v>
      </c>
      <c r="L375">
        <v>0</v>
      </c>
      <c r="M375">
        <v>0</v>
      </c>
      <c r="N375">
        <v>0</v>
      </c>
      <c r="O375">
        <v>309</v>
      </c>
      <c r="P375">
        <v>0</v>
      </c>
      <c r="Q375">
        <v>44</v>
      </c>
      <c r="R375">
        <v>105</v>
      </c>
      <c r="S375">
        <v>275</v>
      </c>
      <c r="T375">
        <v>6.3</v>
      </c>
      <c r="U375">
        <v>5.3</v>
      </c>
      <c r="V375">
        <v>0</v>
      </c>
      <c r="W375">
        <f t="shared" si="41"/>
        <v>884.57126688538881</v>
      </c>
      <c r="X375">
        <f t="shared" si="42"/>
        <v>83.375137341555956</v>
      </c>
    </row>
    <row r="376" spans="1:24" hidden="1" x14ac:dyDescent="0.2">
      <c r="A376" t="s">
        <v>648</v>
      </c>
      <c r="B376" t="s">
        <v>649</v>
      </c>
      <c r="C376">
        <v>1996</v>
      </c>
      <c r="D376">
        <v>1</v>
      </c>
      <c r="E376">
        <v>1</v>
      </c>
      <c r="F376">
        <v>74</v>
      </c>
      <c r="G376">
        <v>172</v>
      </c>
      <c r="H376">
        <f t="shared" si="32"/>
        <v>25.013520822065985</v>
      </c>
      <c r="I376">
        <v>88</v>
      </c>
      <c r="J376">
        <v>94</v>
      </c>
      <c r="K376">
        <v>5.4</v>
      </c>
      <c r="L376">
        <v>0</v>
      </c>
      <c r="M376">
        <v>0</v>
      </c>
      <c r="N376">
        <v>0</v>
      </c>
      <c r="O376">
        <v>160</v>
      </c>
      <c r="P376">
        <v>0</v>
      </c>
      <c r="Q376">
        <v>45</v>
      </c>
      <c r="R376">
        <v>35</v>
      </c>
      <c r="S376">
        <v>234</v>
      </c>
      <c r="T376">
        <v>52</v>
      </c>
      <c r="U376">
        <v>4.3</v>
      </c>
      <c r="V376">
        <v>1</v>
      </c>
      <c r="W376">
        <f t="shared" si="41"/>
        <v>785.428284691062</v>
      </c>
      <c r="X376">
        <f t="shared" si="42"/>
        <v>44.652033956752931</v>
      </c>
    </row>
    <row r="377" spans="1:24" x14ac:dyDescent="0.2">
      <c r="A377" t="s">
        <v>650</v>
      </c>
      <c r="B377" t="s">
        <v>651</v>
      </c>
      <c r="C377">
        <v>1979</v>
      </c>
      <c r="D377">
        <v>1</v>
      </c>
      <c r="E377">
        <v>1</v>
      </c>
      <c r="F377">
        <v>71</v>
      </c>
      <c r="G377">
        <v>165</v>
      </c>
      <c r="H377">
        <f t="shared" si="32"/>
        <v>26.078971533516992</v>
      </c>
      <c r="I377">
        <v>92</v>
      </c>
      <c r="J377">
        <v>96</v>
      </c>
      <c r="K377">
        <v>5.5</v>
      </c>
      <c r="L377">
        <v>0</v>
      </c>
      <c r="M377">
        <v>0</v>
      </c>
      <c r="N377">
        <v>1</v>
      </c>
      <c r="O377">
        <v>113</v>
      </c>
      <c r="P377">
        <v>1</v>
      </c>
      <c r="Q377">
        <v>53</v>
      </c>
      <c r="R377">
        <v>98</v>
      </c>
      <c r="S377">
        <v>327</v>
      </c>
      <c r="T377">
        <v>5.8</v>
      </c>
      <c r="U377">
        <v>7</v>
      </c>
      <c r="V377">
        <v>0</v>
      </c>
      <c r="W377">
        <f t="shared" si="41"/>
        <v>791.07017232506132</v>
      </c>
      <c r="X377">
        <f t="shared" si="42"/>
        <v>63.487405321464792</v>
      </c>
    </row>
    <row r="378" spans="1:24" x14ac:dyDescent="0.2">
      <c r="A378" t="s">
        <v>652</v>
      </c>
      <c r="B378" t="s">
        <v>653</v>
      </c>
      <c r="C378">
        <v>1993</v>
      </c>
      <c r="D378">
        <v>1</v>
      </c>
      <c r="E378">
        <v>1</v>
      </c>
      <c r="F378">
        <v>75</v>
      </c>
      <c r="G378">
        <v>176</v>
      </c>
      <c r="H378">
        <f t="shared" si="32"/>
        <v>24.212293388429753</v>
      </c>
      <c r="I378">
        <v>95</v>
      </c>
      <c r="J378">
        <v>96</v>
      </c>
      <c r="K378">
        <v>5.5</v>
      </c>
      <c r="L378">
        <v>0</v>
      </c>
      <c r="M378">
        <v>0</v>
      </c>
      <c r="N378">
        <v>0</v>
      </c>
      <c r="O378">
        <v>274</v>
      </c>
      <c r="P378">
        <v>0</v>
      </c>
      <c r="Q378">
        <v>41</v>
      </c>
      <c r="R378">
        <v>148</v>
      </c>
      <c r="S378">
        <v>273</v>
      </c>
      <c r="T378">
        <v>6.6</v>
      </c>
      <c r="U378">
        <v>5.4</v>
      </c>
      <c r="V378">
        <v>0</v>
      </c>
      <c r="W378">
        <f t="shared" si="41"/>
        <v>901.01126614311625</v>
      </c>
      <c r="X378">
        <f t="shared" si="42"/>
        <v>83.101224578828479</v>
      </c>
    </row>
    <row r="379" spans="1:24" x14ac:dyDescent="0.2">
      <c r="A379" t="s">
        <v>860</v>
      </c>
      <c r="B379" t="s">
        <v>861</v>
      </c>
      <c r="C379">
        <v>1978</v>
      </c>
      <c r="D379">
        <v>1</v>
      </c>
      <c r="E379">
        <v>1</v>
      </c>
      <c r="F379">
        <v>60</v>
      </c>
      <c r="G379">
        <v>167</v>
      </c>
      <c r="H379">
        <f t="shared" si="32"/>
        <v>21.513858510523864</v>
      </c>
      <c r="I379">
        <v>80</v>
      </c>
      <c r="J379">
        <v>76</v>
      </c>
      <c r="K379">
        <v>5.3</v>
      </c>
      <c r="L379">
        <v>0</v>
      </c>
      <c r="M379">
        <v>0</v>
      </c>
      <c r="N379">
        <v>0</v>
      </c>
      <c r="O379">
        <v>272</v>
      </c>
      <c r="P379">
        <v>0</v>
      </c>
      <c r="Q379">
        <v>60</v>
      </c>
      <c r="R379">
        <v>85</v>
      </c>
      <c r="S379">
        <v>252</v>
      </c>
      <c r="T379">
        <v>6</v>
      </c>
      <c r="U379">
        <v>4.8</v>
      </c>
      <c r="V379">
        <v>0</v>
      </c>
      <c r="W379">
        <f>LN(O379*J379/2)*I379</f>
        <v>739.4710580817906</v>
      </c>
      <c r="X379">
        <f t="shared" si="42"/>
        <v>50.439471290076661</v>
      </c>
    </row>
    <row r="380" spans="1:24" x14ac:dyDescent="0.2">
      <c r="A380" t="s">
        <v>654</v>
      </c>
      <c r="B380" t="s">
        <v>655</v>
      </c>
      <c r="C380">
        <v>1972</v>
      </c>
      <c r="D380">
        <v>0</v>
      </c>
      <c r="E380">
        <v>1</v>
      </c>
      <c r="F380">
        <v>50</v>
      </c>
      <c r="G380">
        <v>146</v>
      </c>
      <c r="H380">
        <f t="shared" si="32"/>
        <v>23.456558453743671</v>
      </c>
      <c r="I380">
        <v>80</v>
      </c>
      <c r="J380">
        <v>96</v>
      </c>
      <c r="K380">
        <v>5.79</v>
      </c>
      <c r="L380">
        <v>0</v>
      </c>
      <c r="M380">
        <v>0</v>
      </c>
      <c r="N380">
        <v>0</v>
      </c>
      <c r="O380">
        <v>294</v>
      </c>
      <c r="P380">
        <v>0</v>
      </c>
      <c r="Q380">
        <v>35</v>
      </c>
      <c r="R380">
        <v>67</v>
      </c>
      <c r="S380">
        <v>256</v>
      </c>
      <c r="T380">
        <v>5.3</v>
      </c>
      <c r="U380">
        <v>4.9000000000000004</v>
      </c>
      <c r="V380">
        <v>0</v>
      </c>
      <c r="W380">
        <f>LN(O380*J380/2)*I380</f>
        <v>764.3824622597258</v>
      </c>
      <c r="X380">
        <f t="shared" si="42"/>
        <v>54.757624091313758</v>
      </c>
    </row>
    <row r="381" spans="1:24" x14ac:dyDescent="0.2">
      <c r="A381" t="s">
        <v>656</v>
      </c>
      <c r="B381" t="s">
        <v>657</v>
      </c>
      <c r="C381">
        <v>2003</v>
      </c>
      <c r="D381">
        <v>1</v>
      </c>
      <c r="E381">
        <v>1</v>
      </c>
      <c r="F381">
        <v>75</v>
      </c>
      <c r="G381">
        <v>168</v>
      </c>
      <c r="H381">
        <f t="shared" si="32"/>
        <v>26.573129251700685</v>
      </c>
      <c r="I381">
        <v>91</v>
      </c>
      <c r="J381">
        <v>85</v>
      </c>
      <c r="K381">
        <v>5.88</v>
      </c>
      <c r="L381">
        <v>0</v>
      </c>
      <c r="M381">
        <v>0</v>
      </c>
      <c r="N381">
        <v>0</v>
      </c>
      <c r="O381">
        <v>110</v>
      </c>
      <c r="P381">
        <v>0</v>
      </c>
      <c r="Q381">
        <v>48</v>
      </c>
      <c r="R381">
        <v>47</v>
      </c>
      <c r="S381">
        <v>274</v>
      </c>
      <c r="T381">
        <v>8.5</v>
      </c>
      <c r="U381">
        <v>5.5</v>
      </c>
      <c r="V381">
        <v>0</v>
      </c>
      <c r="W381">
        <f t="shared" ref="W381:W390" si="43">LN(O381*J381/2)*I381</f>
        <v>768.9485841967736</v>
      </c>
      <c r="X381">
        <f t="shared" si="42"/>
        <v>50.390710362571149</v>
      </c>
    </row>
    <row r="382" spans="1:24" hidden="1" x14ac:dyDescent="0.2">
      <c r="A382" t="s">
        <v>862</v>
      </c>
      <c r="B382" t="s">
        <v>863</v>
      </c>
      <c r="C382">
        <v>1985</v>
      </c>
      <c r="D382">
        <v>1</v>
      </c>
      <c r="E382">
        <v>1</v>
      </c>
      <c r="F382">
        <v>74</v>
      </c>
      <c r="G382">
        <v>172</v>
      </c>
      <c r="H382">
        <f t="shared" si="32"/>
        <v>25.013520822065985</v>
      </c>
      <c r="I382">
        <v>93</v>
      </c>
      <c r="J382">
        <v>92</v>
      </c>
      <c r="K382">
        <v>5.5</v>
      </c>
      <c r="L382">
        <v>0</v>
      </c>
      <c r="M382">
        <v>0</v>
      </c>
      <c r="N382">
        <v>0</v>
      </c>
      <c r="O382">
        <v>361</v>
      </c>
      <c r="P382">
        <v>0</v>
      </c>
      <c r="Q382">
        <v>40</v>
      </c>
      <c r="R382">
        <v>120</v>
      </c>
      <c r="S382">
        <v>305</v>
      </c>
      <c r="T382">
        <v>7.9</v>
      </c>
      <c r="U382">
        <v>6.2</v>
      </c>
      <c r="V382">
        <v>1</v>
      </c>
      <c r="W382">
        <f t="shared" si="43"/>
        <v>903.72929999844371</v>
      </c>
      <c r="X382">
        <f t="shared" si="42"/>
        <v>84.688804993644482</v>
      </c>
    </row>
    <row r="383" spans="1:24" x14ac:dyDescent="0.2">
      <c r="A383" t="s">
        <v>658</v>
      </c>
      <c r="B383" t="s">
        <v>659</v>
      </c>
      <c r="C383">
        <v>1997</v>
      </c>
      <c r="D383">
        <v>0</v>
      </c>
      <c r="E383">
        <v>1</v>
      </c>
      <c r="F383">
        <v>48</v>
      </c>
      <c r="G383">
        <v>156</v>
      </c>
      <c r="H383">
        <f t="shared" si="32"/>
        <v>19.723865877712029</v>
      </c>
      <c r="I383">
        <v>73</v>
      </c>
      <c r="J383">
        <v>86</v>
      </c>
      <c r="K383">
        <v>5.0999999999999996</v>
      </c>
      <c r="L383">
        <v>0</v>
      </c>
      <c r="M383">
        <v>0</v>
      </c>
      <c r="N383">
        <v>0</v>
      </c>
      <c r="O383">
        <v>65</v>
      </c>
      <c r="P383">
        <v>0</v>
      </c>
      <c r="Q383">
        <v>50</v>
      </c>
      <c r="R383">
        <v>17</v>
      </c>
      <c r="S383">
        <v>236</v>
      </c>
      <c r="T383">
        <v>6.1</v>
      </c>
      <c r="U383">
        <v>4.5999999999999996</v>
      </c>
      <c r="V383">
        <v>0</v>
      </c>
      <c r="W383">
        <f t="shared" si="43"/>
        <v>579.29787914801159</v>
      </c>
      <c r="X383">
        <f t="shared" si="42"/>
        <v>4.2211091323779755</v>
      </c>
    </row>
    <row r="384" spans="1:24" x14ac:dyDescent="0.2">
      <c r="A384" t="s">
        <v>660</v>
      </c>
      <c r="B384" t="s">
        <v>661</v>
      </c>
      <c r="C384">
        <v>1979</v>
      </c>
      <c r="D384">
        <v>1</v>
      </c>
      <c r="E384">
        <v>1</v>
      </c>
      <c r="F384">
        <v>68</v>
      </c>
      <c r="G384">
        <v>164</v>
      </c>
      <c r="H384">
        <f t="shared" si="32"/>
        <v>25.282569898869724</v>
      </c>
      <c r="I384">
        <v>91</v>
      </c>
      <c r="J384">
        <v>92</v>
      </c>
      <c r="K384">
        <v>5.7</v>
      </c>
      <c r="L384">
        <v>0</v>
      </c>
      <c r="M384">
        <v>0</v>
      </c>
      <c r="N384">
        <v>0</v>
      </c>
      <c r="O384">
        <v>189</v>
      </c>
      <c r="P384">
        <v>0</v>
      </c>
      <c r="Q384">
        <v>36</v>
      </c>
      <c r="R384">
        <v>38</v>
      </c>
      <c r="S384">
        <v>239</v>
      </c>
      <c r="T384">
        <v>11.1</v>
      </c>
      <c r="U384">
        <v>4.9000000000000004</v>
      </c>
      <c r="V384">
        <v>0</v>
      </c>
      <c r="W384">
        <f t="shared" si="43"/>
        <v>825.4053454509351</v>
      </c>
      <c r="X384">
        <f t="shared" si="42"/>
        <v>54.969760797356251</v>
      </c>
    </row>
    <row r="385" spans="1:24" x14ac:dyDescent="0.2">
      <c r="A385" t="s">
        <v>662</v>
      </c>
      <c r="B385" t="s">
        <v>663</v>
      </c>
      <c r="C385">
        <v>1989</v>
      </c>
      <c r="D385">
        <v>0</v>
      </c>
      <c r="E385">
        <v>1</v>
      </c>
      <c r="F385">
        <v>52</v>
      </c>
      <c r="G385">
        <v>155</v>
      </c>
      <c r="H385">
        <f t="shared" si="32"/>
        <v>21.644120707596251</v>
      </c>
      <c r="I385">
        <v>79</v>
      </c>
      <c r="J385">
        <v>86</v>
      </c>
      <c r="K385">
        <v>4.92</v>
      </c>
      <c r="L385">
        <v>0</v>
      </c>
      <c r="M385">
        <v>0</v>
      </c>
      <c r="N385">
        <v>0</v>
      </c>
      <c r="O385">
        <v>158</v>
      </c>
      <c r="P385">
        <v>0</v>
      </c>
      <c r="Q385">
        <v>40</v>
      </c>
      <c r="R385">
        <v>21</v>
      </c>
      <c r="S385">
        <v>249</v>
      </c>
      <c r="T385">
        <v>4.2</v>
      </c>
      <c r="U385">
        <v>4.8</v>
      </c>
      <c r="V385">
        <v>0</v>
      </c>
      <c r="W385">
        <f t="shared" si="43"/>
        <v>697.07981674892187</v>
      </c>
      <c r="X385">
        <f t="shared" si="42"/>
        <v>17.670294303496437</v>
      </c>
    </row>
    <row r="386" spans="1:24" hidden="1" x14ac:dyDescent="0.2">
      <c r="A386" t="s">
        <v>864</v>
      </c>
      <c r="B386" t="s">
        <v>865</v>
      </c>
      <c r="C386">
        <v>1994</v>
      </c>
      <c r="D386">
        <v>1</v>
      </c>
      <c r="E386">
        <v>1</v>
      </c>
      <c r="F386">
        <v>61</v>
      </c>
      <c r="G386">
        <v>163</v>
      </c>
      <c r="H386">
        <f t="shared" si="32"/>
        <v>22.959087658549439</v>
      </c>
      <c r="I386">
        <v>85</v>
      </c>
      <c r="J386">
        <v>112</v>
      </c>
      <c r="K386">
        <v>5.4</v>
      </c>
      <c r="L386">
        <v>0</v>
      </c>
      <c r="M386">
        <v>0</v>
      </c>
      <c r="N386">
        <v>0</v>
      </c>
      <c r="O386">
        <v>736</v>
      </c>
      <c r="P386">
        <v>0</v>
      </c>
      <c r="Q386">
        <v>40</v>
      </c>
      <c r="R386">
        <v>92</v>
      </c>
      <c r="S386">
        <v>247</v>
      </c>
      <c r="T386">
        <v>4.5</v>
      </c>
      <c r="U386">
        <v>4.7</v>
      </c>
      <c r="V386">
        <v>1</v>
      </c>
      <c r="W386">
        <f t="shared" si="43"/>
        <v>903.25945380444227</v>
      </c>
      <c r="X386">
        <f t="shared" si="42"/>
        <v>81.591756995881354</v>
      </c>
    </row>
    <row r="387" spans="1:24" x14ac:dyDescent="0.2">
      <c r="A387" t="s">
        <v>664</v>
      </c>
      <c r="B387" t="s">
        <v>665</v>
      </c>
      <c r="C387">
        <v>1971</v>
      </c>
      <c r="D387">
        <v>1</v>
      </c>
      <c r="E387">
        <v>1</v>
      </c>
      <c r="F387">
        <v>74</v>
      </c>
      <c r="G387">
        <v>170</v>
      </c>
      <c r="H387">
        <f t="shared" si="32"/>
        <v>25.605536332179934</v>
      </c>
      <c r="I387">
        <v>98</v>
      </c>
      <c r="J387">
        <v>99</v>
      </c>
      <c r="K387">
        <v>5.92</v>
      </c>
      <c r="L387">
        <v>0</v>
      </c>
      <c r="M387">
        <v>0</v>
      </c>
      <c r="N387">
        <v>1</v>
      </c>
      <c r="O387">
        <v>406</v>
      </c>
      <c r="P387">
        <v>0</v>
      </c>
      <c r="Q387">
        <v>68</v>
      </c>
      <c r="R387">
        <v>261</v>
      </c>
      <c r="S387">
        <v>273</v>
      </c>
      <c r="T387">
        <v>4.7</v>
      </c>
      <c r="U387">
        <v>5.3</v>
      </c>
      <c r="V387">
        <v>0</v>
      </c>
      <c r="W387">
        <f t="shared" si="43"/>
        <v>971.01593125928491</v>
      </c>
      <c r="X387">
        <f t="shared" si="42"/>
        <v>93.863285217403558</v>
      </c>
    </row>
    <row r="388" spans="1:24" x14ac:dyDescent="0.2">
      <c r="A388" t="s">
        <v>666</v>
      </c>
      <c r="B388" t="s">
        <v>667</v>
      </c>
      <c r="C388">
        <v>2002</v>
      </c>
      <c r="D388">
        <v>1</v>
      </c>
      <c r="E388">
        <v>1</v>
      </c>
      <c r="F388">
        <v>65</v>
      </c>
      <c r="G388">
        <v>160</v>
      </c>
      <c r="H388">
        <f t="shared" si="32"/>
        <v>25.390624999999996</v>
      </c>
      <c r="I388">
        <v>85</v>
      </c>
      <c r="J388">
        <v>97</v>
      </c>
      <c r="K388">
        <v>5.34</v>
      </c>
      <c r="L388">
        <v>0</v>
      </c>
      <c r="M388">
        <v>0</v>
      </c>
      <c r="N388">
        <v>0</v>
      </c>
      <c r="O388">
        <v>207</v>
      </c>
      <c r="P388">
        <v>0</v>
      </c>
      <c r="Q388">
        <v>35</v>
      </c>
      <c r="R388">
        <v>85</v>
      </c>
      <c r="S388">
        <v>262</v>
      </c>
      <c r="T388">
        <v>5.5</v>
      </c>
      <c r="U388">
        <v>4.9000000000000004</v>
      </c>
      <c r="V388">
        <v>0</v>
      </c>
      <c r="W388">
        <f t="shared" si="43"/>
        <v>783.21402025274858</v>
      </c>
      <c r="X388">
        <f t="shared" si="42"/>
        <v>63.673049561952126</v>
      </c>
    </row>
    <row r="389" spans="1:24" x14ac:dyDescent="0.2">
      <c r="A389" t="s">
        <v>668</v>
      </c>
      <c r="B389" t="s">
        <v>669</v>
      </c>
      <c r="C389">
        <v>1975</v>
      </c>
      <c r="D389">
        <v>1</v>
      </c>
      <c r="E389">
        <v>1</v>
      </c>
      <c r="F389">
        <v>74</v>
      </c>
      <c r="G389">
        <v>159</v>
      </c>
      <c r="H389">
        <f t="shared" si="32"/>
        <v>29.270994027135</v>
      </c>
      <c r="I389">
        <v>97</v>
      </c>
      <c r="J389">
        <v>85</v>
      </c>
      <c r="K389">
        <v>5.8</v>
      </c>
      <c r="L389">
        <v>0</v>
      </c>
      <c r="M389">
        <v>0</v>
      </c>
      <c r="N389">
        <v>0</v>
      </c>
      <c r="O389">
        <v>236</v>
      </c>
      <c r="P389">
        <v>0</v>
      </c>
      <c r="Q389">
        <v>52</v>
      </c>
      <c r="R389">
        <v>44</v>
      </c>
      <c r="S389">
        <v>270</v>
      </c>
      <c r="T389">
        <v>7.3</v>
      </c>
      <c r="U389">
        <v>5.2</v>
      </c>
      <c r="V389">
        <v>0</v>
      </c>
      <c r="W389">
        <f t="shared" si="43"/>
        <v>893.6935804527302</v>
      </c>
      <c r="X389">
        <f t="shared" si="42"/>
        <v>80.039229918978279</v>
      </c>
    </row>
    <row r="390" spans="1:24" x14ac:dyDescent="0.2">
      <c r="A390" t="s">
        <v>670</v>
      </c>
      <c r="B390" t="s">
        <v>671</v>
      </c>
      <c r="C390">
        <v>1980</v>
      </c>
      <c r="D390">
        <v>1</v>
      </c>
      <c r="E390">
        <v>1</v>
      </c>
      <c r="F390">
        <v>74</v>
      </c>
      <c r="G390">
        <v>168</v>
      </c>
      <c r="H390">
        <f t="shared" si="32"/>
        <v>26.218820861678008</v>
      </c>
      <c r="I390">
        <v>94</v>
      </c>
      <c r="J390">
        <v>110</v>
      </c>
      <c r="K390">
        <v>5.6</v>
      </c>
      <c r="L390">
        <v>0</v>
      </c>
      <c r="M390">
        <v>0</v>
      </c>
      <c r="N390">
        <v>0</v>
      </c>
      <c r="O390">
        <v>128</v>
      </c>
      <c r="P390">
        <v>0</v>
      </c>
      <c r="Q390">
        <v>55</v>
      </c>
      <c r="R390">
        <v>47</v>
      </c>
      <c r="S390">
        <v>228</v>
      </c>
      <c r="T390">
        <v>7.5</v>
      </c>
      <c r="U390">
        <v>4.5999999999999996</v>
      </c>
      <c r="V390">
        <v>0</v>
      </c>
      <c r="W390">
        <f t="shared" si="43"/>
        <v>832.78016422029623</v>
      </c>
      <c r="X390">
        <f t="shared" si="42"/>
        <v>56.704550332522714</v>
      </c>
    </row>
    <row r="391" spans="1:24" x14ac:dyDescent="0.2">
      <c r="A391" t="s">
        <v>672</v>
      </c>
      <c r="B391" t="s">
        <v>673</v>
      </c>
      <c r="C391">
        <v>1987</v>
      </c>
      <c r="D391">
        <v>0</v>
      </c>
      <c r="E391">
        <v>1</v>
      </c>
      <c r="F391">
        <v>51</v>
      </c>
      <c r="G391">
        <v>150</v>
      </c>
      <c r="H391">
        <f t="shared" si="32"/>
        <v>22.666666666666668</v>
      </c>
      <c r="I391">
        <v>75</v>
      </c>
      <c r="J391">
        <v>101</v>
      </c>
      <c r="K391">
        <v>5.7</v>
      </c>
      <c r="L391">
        <v>0</v>
      </c>
      <c r="M391">
        <v>0</v>
      </c>
      <c r="N391">
        <v>0</v>
      </c>
      <c r="O391">
        <v>225</v>
      </c>
      <c r="P391">
        <v>0</v>
      </c>
      <c r="Q391">
        <v>40</v>
      </c>
      <c r="R391">
        <v>68</v>
      </c>
      <c r="S391">
        <v>305</v>
      </c>
      <c r="T391">
        <v>6.3</v>
      </c>
      <c r="U391">
        <v>6.1</v>
      </c>
      <c r="V391">
        <v>0</v>
      </c>
      <c r="W391">
        <f>LN(O391*J391/2)*I391</f>
        <v>700.35553038643013</v>
      </c>
      <c r="X391">
        <f>100*EXP(0.953*LN(O391)+0.139*H391+0.718*LN(R391)+0.053*I391-15.745)/(1+EXP(0.953*LN(O391)+0.139*H391+0.718*LN(R391)+0.053*I391-15.745))</f>
        <v>39.456026963410594</v>
      </c>
    </row>
    <row r="392" spans="1:24" x14ac:dyDescent="0.2">
      <c r="A392" t="s">
        <v>674</v>
      </c>
      <c r="B392" t="s">
        <v>675</v>
      </c>
      <c r="C392">
        <v>1983</v>
      </c>
      <c r="D392">
        <v>1</v>
      </c>
      <c r="E392">
        <v>1</v>
      </c>
      <c r="F392">
        <v>77</v>
      </c>
      <c r="G392">
        <v>166</v>
      </c>
      <c r="H392">
        <f t="shared" si="32"/>
        <v>27.94309769197271</v>
      </c>
      <c r="I392">
        <v>96</v>
      </c>
      <c r="J392">
        <v>96</v>
      </c>
      <c r="K392">
        <v>5.7</v>
      </c>
      <c r="L392">
        <v>0</v>
      </c>
      <c r="M392">
        <v>0</v>
      </c>
      <c r="N392">
        <v>0</v>
      </c>
      <c r="O392">
        <v>299</v>
      </c>
      <c r="P392">
        <v>0</v>
      </c>
      <c r="Q392">
        <v>37</v>
      </c>
      <c r="R392">
        <v>42</v>
      </c>
      <c r="S392">
        <v>251</v>
      </c>
      <c r="T392">
        <v>9</v>
      </c>
      <c r="U392">
        <v>4.9000000000000004</v>
      </c>
      <c r="V392">
        <v>0</v>
      </c>
      <c r="W392">
        <f>LN(O392*J392/2)*I392</f>
        <v>918.87788009266342</v>
      </c>
      <c r="X392">
        <f>100*EXP(0.953*LN(O392)+0.139*H392+0.718*LN(R392)+0.053*I392-15.745)/(1+EXP(0.953*LN(O392)+0.139*H392+0.718*LN(R392)+0.053*I392-15.745))</f>
        <v>79.302555093768078</v>
      </c>
    </row>
    <row r="393" spans="1:24" x14ac:dyDescent="0.2">
      <c r="A393" t="s">
        <v>676</v>
      </c>
      <c r="B393" t="s">
        <v>677</v>
      </c>
      <c r="C393">
        <v>1981</v>
      </c>
      <c r="D393">
        <v>1</v>
      </c>
      <c r="E393">
        <v>1</v>
      </c>
      <c r="F393">
        <v>60</v>
      </c>
      <c r="G393">
        <v>162</v>
      </c>
      <c r="H393">
        <f t="shared" si="32"/>
        <v>22.862368541380881</v>
      </c>
      <c r="I393">
        <v>86</v>
      </c>
      <c r="J393">
        <v>99</v>
      </c>
      <c r="K393">
        <v>5.7</v>
      </c>
      <c r="L393">
        <v>0</v>
      </c>
      <c r="M393">
        <v>0</v>
      </c>
      <c r="N393">
        <v>1</v>
      </c>
      <c r="O393">
        <v>231</v>
      </c>
      <c r="P393">
        <v>0</v>
      </c>
      <c r="Q393">
        <v>49</v>
      </c>
      <c r="R393">
        <v>76</v>
      </c>
      <c r="S393">
        <v>232</v>
      </c>
      <c r="T393">
        <v>7.8</v>
      </c>
      <c r="U393">
        <v>4.7</v>
      </c>
      <c r="V393">
        <v>0</v>
      </c>
      <c r="W393">
        <f t="shared" ref="W393:W405" si="44">LN(O393*J393/2)*I393</f>
        <v>803.61757268829376</v>
      </c>
      <c r="X393">
        <f t="shared" ref="X393:X439" si="45">100*EXP(0.953*LN(O393)+0.139*H393+0.718*LN(R393)+0.053*I393-15.745)/(1+EXP(0.953*LN(O393)+0.139*H393+0.718*LN(R393)+0.053*I393-15.745))</f>
        <v>57.125168996514034</v>
      </c>
    </row>
    <row r="394" spans="1:24" x14ac:dyDescent="0.2">
      <c r="A394" t="s">
        <v>678</v>
      </c>
      <c r="B394" t="s">
        <v>679</v>
      </c>
      <c r="C394">
        <v>1989</v>
      </c>
      <c r="D394">
        <v>0</v>
      </c>
      <c r="E394">
        <v>1</v>
      </c>
      <c r="F394">
        <v>47</v>
      </c>
      <c r="G394">
        <v>152</v>
      </c>
      <c r="H394">
        <f t="shared" si="32"/>
        <v>20.342797783933516</v>
      </c>
      <c r="I394">
        <v>67</v>
      </c>
      <c r="J394">
        <v>85</v>
      </c>
      <c r="K394">
        <v>5.4</v>
      </c>
      <c r="L394">
        <v>0</v>
      </c>
      <c r="M394">
        <v>0</v>
      </c>
      <c r="N394">
        <v>0</v>
      </c>
      <c r="O394">
        <v>293</v>
      </c>
      <c r="P394">
        <v>0</v>
      </c>
      <c r="Q394">
        <v>39</v>
      </c>
      <c r="R394">
        <v>36</v>
      </c>
      <c r="S394">
        <v>258</v>
      </c>
      <c r="T394">
        <v>4.3</v>
      </c>
      <c r="U394">
        <v>5.0999999999999996</v>
      </c>
      <c r="V394">
        <v>0</v>
      </c>
      <c r="W394">
        <f t="shared" si="44"/>
        <v>631.78833789147836</v>
      </c>
      <c r="X394">
        <f t="shared" si="45"/>
        <v>20.098009029695262</v>
      </c>
    </row>
    <row r="395" spans="1:24" hidden="1" x14ac:dyDescent="0.2">
      <c r="A395" t="s">
        <v>866</v>
      </c>
      <c r="B395" t="s">
        <v>867</v>
      </c>
      <c r="C395">
        <v>1984</v>
      </c>
      <c r="D395">
        <v>1</v>
      </c>
      <c r="E395">
        <v>1</v>
      </c>
      <c r="F395">
        <v>76</v>
      </c>
      <c r="G395">
        <v>159</v>
      </c>
      <c r="H395">
        <f t="shared" si="32"/>
        <v>30.062101973814325</v>
      </c>
      <c r="I395">
        <v>93</v>
      </c>
      <c r="J395">
        <v>123</v>
      </c>
      <c r="K395">
        <v>6.12</v>
      </c>
      <c r="L395">
        <v>0</v>
      </c>
      <c r="M395">
        <v>0</v>
      </c>
      <c r="N395">
        <v>0</v>
      </c>
      <c r="O395">
        <v>982</v>
      </c>
      <c r="P395">
        <v>0</v>
      </c>
      <c r="Q395">
        <v>40</v>
      </c>
      <c r="R395">
        <v>239</v>
      </c>
      <c r="S395">
        <v>320</v>
      </c>
      <c r="T395">
        <v>6.4</v>
      </c>
      <c r="U395">
        <v>6.7</v>
      </c>
      <c r="V395">
        <v>1</v>
      </c>
      <c r="W395">
        <f t="shared" si="44"/>
        <v>1023.8024489345252</v>
      </c>
      <c r="X395">
        <f t="shared" si="45"/>
        <v>97.93770772379294</v>
      </c>
    </row>
    <row r="396" spans="1:24" x14ac:dyDescent="0.2">
      <c r="A396" t="s">
        <v>680</v>
      </c>
      <c r="B396" t="s">
        <v>681</v>
      </c>
      <c r="C396">
        <v>1983</v>
      </c>
      <c r="D396">
        <v>1</v>
      </c>
      <c r="E396">
        <v>1</v>
      </c>
      <c r="F396">
        <v>70</v>
      </c>
      <c r="G396">
        <v>167</v>
      </c>
      <c r="H396">
        <f t="shared" si="32"/>
        <v>25.099501595611173</v>
      </c>
      <c r="I396">
        <v>88</v>
      </c>
      <c r="J396">
        <v>123</v>
      </c>
      <c r="K396">
        <v>6.66</v>
      </c>
      <c r="L396">
        <v>0</v>
      </c>
      <c r="M396">
        <v>0</v>
      </c>
      <c r="N396">
        <v>0</v>
      </c>
      <c r="O396">
        <v>127</v>
      </c>
      <c r="P396">
        <v>0</v>
      </c>
      <c r="Q396">
        <v>38</v>
      </c>
      <c r="R396">
        <v>60</v>
      </c>
      <c r="S396">
        <v>267</v>
      </c>
      <c r="T396">
        <v>5.6</v>
      </c>
      <c r="U396">
        <v>5.2</v>
      </c>
      <c r="V396">
        <v>0</v>
      </c>
      <c r="W396">
        <f t="shared" si="44"/>
        <v>788.76373499185365</v>
      </c>
      <c r="X396">
        <f t="shared" si="45"/>
        <v>49.102106809181784</v>
      </c>
    </row>
    <row r="397" spans="1:24" x14ac:dyDescent="0.2">
      <c r="A397" t="s">
        <v>682</v>
      </c>
      <c r="B397" t="s">
        <v>683</v>
      </c>
      <c r="C397">
        <v>1991</v>
      </c>
      <c r="D397">
        <v>1</v>
      </c>
      <c r="E397">
        <v>1</v>
      </c>
      <c r="F397">
        <v>54</v>
      </c>
      <c r="G397">
        <v>163</v>
      </c>
      <c r="H397">
        <f t="shared" si="32"/>
        <v>20.324438255109339</v>
      </c>
      <c r="I397">
        <v>77</v>
      </c>
      <c r="J397">
        <v>106</v>
      </c>
      <c r="K397">
        <v>5.28</v>
      </c>
      <c r="L397">
        <v>0</v>
      </c>
      <c r="M397">
        <v>0</v>
      </c>
      <c r="N397">
        <v>0</v>
      </c>
      <c r="O397">
        <v>191</v>
      </c>
      <c r="P397">
        <v>0</v>
      </c>
      <c r="Q397">
        <v>53</v>
      </c>
      <c r="R397">
        <v>39</v>
      </c>
      <c r="S397">
        <v>219</v>
      </c>
      <c r="T397">
        <v>5.2</v>
      </c>
      <c r="U397">
        <v>4.0999999999999996</v>
      </c>
      <c r="V397">
        <v>0</v>
      </c>
      <c r="W397">
        <f t="shared" si="44"/>
        <v>710.13753130310397</v>
      </c>
      <c r="X397">
        <f t="shared" si="45"/>
        <v>23.093321720792584</v>
      </c>
    </row>
    <row r="398" spans="1:24" x14ac:dyDescent="0.2">
      <c r="A398" t="s">
        <v>684</v>
      </c>
      <c r="B398" t="s">
        <v>685</v>
      </c>
      <c r="C398">
        <v>1997</v>
      </c>
      <c r="D398">
        <v>1</v>
      </c>
      <c r="E398">
        <v>1</v>
      </c>
      <c r="F398">
        <v>70</v>
      </c>
      <c r="G398">
        <v>165</v>
      </c>
      <c r="H398">
        <f t="shared" si="32"/>
        <v>25.711662075298442</v>
      </c>
      <c r="I398">
        <v>87</v>
      </c>
      <c r="J398">
        <v>124</v>
      </c>
      <c r="K398">
        <v>5.6</v>
      </c>
      <c r="L398">
        <v>0</v>
      </c>
      <c r="M398">
        <v>0</v>
      </c>
      <c r="N398">
        <v>0</v>
      </c>
      <c r="O398">
        <v>111</v>
      </c>
      <c r="P398">
        <v>0</v>
      </c>
      <c r="Q398">
        <v>31</v>
      </c>
      <c r="R398">
        <v>62</v>
      </c>
      <c r="S398">
        <v>285</v>
      </c>
      <c r="T398">
        <v>7.8</v>
      </c>
      <c r="U398">
        <v>5.6</v>
      </c>
      <c r="V398">
        <v>0</v>
      </c>
      <c r="W398">
        <f t="shared" si="44"/>
        <v>768.78981901309601</v>
      </c>
      <c r="X398">
        <f t="shared" si="45"/>
        <v>47.287311254494512</v>
      </c>
    </row>
    <row r="399" spans="1:24" x14ac:dyDescent="0.2">
      <c r="A399" t="s">
        <v>686</v>
      </c>
      <c r="B399" t="s">
        <v>687</v>
      </c>
      <c r="C399">
        <v>1995</v>
      </c>
      <c r="D399">
        <v>1</v>
      </c>
      <c r="E399">
        <v>1</v>
      </c>
      <c r="F399">
        <v>80</v>
      </c>
      <c r="G399">
        <v>170</v>
      </c>
      <c r="H399">
        <f t="shared" si="32"/>
        <v>27.681660899653981</v>
      </c>
      <c r="I399">
        <v>98</v>
      </c>
      <c r="J399">
        <v>114</v>
      </c>
      <c r="K399">
        <v>5.55</v>
      </c>
      <c r="L399">
        <v>0</v>
      </c>
      <c r="M399">
        <v>0</v>
      </c>
      <c r="N399">
        <v>0</v>
      </c>
      <c r="O399">
        <v>184</v>
      </c>
      <c r="P399">
        <v>0</v>
      </c>
      <c r="Q399">
        <v>51</v>
      </c>
      <c r="R399">
        <v>85</v>
      </c>
      <c r="S399">
        <v>264</v>
      </c>
      <c r="T399">
        <v>8.4</v>
      </c>
      <c r="U399">
        <v>5.0999999999999996</v>
      </c>
      <c r="V399">
        <v>0</v>
      </c>
      <c r="W399">
        <f t="shared" si="44"/>
        <v>907.28272849346649</v>
      </c>
      <c r="X399">
        <f t="shared" si="45"/>
        <v>81.098271031285293</v>
      </c>
    </row>
    <row r="400" spans="1:24" hidden="1" x14ac:dyDescent="0.2">
      <c r="A400" t="s">
        <v>868</v>
      </c>
      <c r="B400" t="s">
        <v>869</v>
      </c>
      <c r="C400">
        <v>1972</v>
      </c>
      <c r="D400">
        <v>1</v>
      </c>
      <c r="E400">
        <v>1</v>
      </c>
      <c r="F400">
        <v>65</v>
      </c>
      <c r="G400">
        <v>165</v>
      </c>
      <c r="H400">
        <f t="shared" si="32"/>
        <v>23.875114784205696</v>
      </c>
      <c r="I400">
        <v>89</v>
      </c>
      <c r="J400">
        <v>101</v>
      </c>
      <c r="K400">
        <v>5.5</v>
      </c>
      <c r="L400">
        <v>0</v>
      </c>
      <c r="M400">
        <v>0</v>
      </c>
      <c r="N400">
        <v>0</v>
      </c>
      <c r="O400">
        <v>242</v>
      </c>
      <c r="P400">
        <v>0</v>
      </c>
      <c r="Q400">
        <v>63</v>
      </c>
      <c r="R400">
        <v>158</v>
      </c>
      <c r="S400">
        <v>226</v>
      </c>
      <c r="T400">
        <v>6</v>
      </c>
      <c r="U400">
        <v>4.5999999999999996</v>
      </c>
      <c r="V400">
        <v>1</v>
      </c>
      <c r="W400">
        <f t="shared" si="44"/>
        <v>837.57108455698199</v>
      </c>
      <c r="X400">
        <f t="shared" si="45"/>
        <v>76.070378170468146</v>
      </c>
    </row>
    <row r="401" spans="1:24" x14ac:dyDescent="0.2">
      <c r="A401" t="s">
        <v>688</v>
      </c>
      <c r="B401" t="s">
        <v>689</v>
      </c>
      <c r="C401">
        <v>1968</v>
      </c>
      <c r="D401">
        <v>1</v>
      </c>
      <c r="E401">
        <v>1</v>
      </c>
      <c r="F401">
        <v>69</v>
      </c>
      <c r="G401">
        <v>166</v>
      </c>
      <c r="H401">
        <f t="shared" si="32"/>
        <v>25.039918710988534</v>
      </c>
      <c r="I401">
        <v>90</v>
      </c>
      <c r="J401">
        <v>97</v>
      </c>
      <c r="K401">
        <v>6.12</v>
      </c>
      <c r="L401">
        <v>0</v>
      </c>
      <c r="M401">
        <v>0</v>
      </c>
      <c r="N401">
        <v>0</v>
      </c>
      <c r="O401">
        <v>162</v>
      </c>
      <c r="P401">
        <v>0</v>
      </c>
      <c r="Q401">
        <v>34</v>
      </c>
      <c r="R401">
        <v>40</v>
      </c>
      <c r="S401">
        <v>259</v>
      </c>
      <c r="T401">
        <v>6</v>
      </c>
      <c r="U401">
        <v>5.0999999999999996</v>
      </c>
      <c r="V401">
        <v>0</v>
      </c>
      <c r="W401">
        <f t="shared" si="44"/>
        <v>807.22441198582385</v>
      </c>
      <c r="X401">
        <f t="shared" si="45"/>
        <v>50.066086370458379</v>
      </c>
    </row>
    <row r="402" spans="1:24" hidden="1" x14ac:dyDescent="0.2">
      <c r="A402" t="s">
        <v>870</v>
      </c>
      <c r="B402" t="s">
        <v>871</v>
      </c>
      <c r="C402">
        <v>1997</v>
      </c>
      <c r="D402">
        <v>1</v>
      </c>
      <c r="E402">
        <v>1</v>
      </c>
      <c r="F402">
        <v>80</v>
      </c>
      <c r="G402">
        <v>163</v>
      </c>
      <c r="H402">
        <f t="shared" si="32"/>
        <v>30.110278896458279</v>
      </c>
      <c r="I402">
        <v>96</v>
      </c>
      <c r="J402">
        <v>88</v>
      </c>
      <c r="K402">
        <v>5.59</v>
      </c>
      <c r="L402">
        <v>0</v>
      </c>
      <c r="M402">
        <v>0</v>
      </c>
      <c r="N402">
        <v>0</v>
      </c>
      <c r="O402">
        <v>225</v>
      </c>
      <c r="P402">
        <v>0</v>
      </c>
      <c r="Q402">
        <v>44</v>
      </c>
      <c r="R402">
        <v>85</v>
      </c>
      <c r="S402">
        <v>262</v>
      </c>
      <c r="T402">
        <v>5.3</v>
      </c>
      <c r="U402">
        <v>5</v>
      </c>
      <c r="V402">
        <v>1</v>
      </c>
      <c r="W402">
        <f t="shared" si="44"/>
        <v>883.22784346777735</v>
      </c>
      <c r="X402">
        <f t="shared" si="45"/>
        <v>86.757621047143033</v>
      </c>
    </row>
    <row r="403" spans="1:24" x14ac:dyDescent="0.2">
      <c r="A403" t="s">
        <v>690</v>
      </c>
      <c r="B403" t="s">
        <v>691</v>
      </c>
      <c r="C403">
        <v>1995</v>
      </c>
      <c r="D403">
        <v>1</v>
      </c>
      <c r="E403">
        <v>1</v>
      </c>
      <c r="F403">
        <v>84</v>
      </c>
      <c r="G403">
        <v>172</v>
      </c>
      <c r="H403">
        <f t="shared" si="32"/>
        <v>28.393726338561386</v>
      </c>
      <c r="I403">
        <v>93</v>
      </c>
      <c r="J403">
        <v>99</v>
      </c>
      <c r="K403">
        <v>5.82</v>
      </c>
      <c r="L403">
        <v>0</v>
      </c>
      <c r="M403">
        <v>0</v>
      </c>
      <c r="N403">
        <v>0</v>
      </c>
      <c r="O403">
        <v>213</v>
      </c>
      <c r="P403">
        <v>0</v>
      </c>
      <c r="Q403">
        <v>41</v>
      </c>
      <c r="R403">
        <v>201</v>
      </c>
      <c r="S403">
        <v>251</v>
      </c>
      <c r="T403">
        <v>6.6</v>
      </c>
      <c r="U403">
        <v>4.8</v>
      </c>
      <c r="V403">
        <v>0</v>
      </c>
      <c r="W403">
        <f t="shared" si="44"/>
        <v>861.48362968141839</v>
      </c>
      <c r="X403">
        <f t="shared" si="45"/>
        <v>88.572637901385377</v>
      </c>
    </row>
    <row r="404" spans="1:24" x14ac:dyDescent="0.2">
      <c r="A404" t="s">
        <v>692</v>
      </c>
      <c r="B404" t="s">
        <v>693</v>
      </c>
      <c r="C404">
        <v>2003</v>
      </c>
      <c r="D404">
        <v>1</v>
      </c>
      <c r="E404">
        <v>1</v>
      </c>
      <c r="F404">
        <v>61</v>
      </c>
      <c r="G404">
        <v>175</v>
      </c>
      <c r="H404">
        <f t="shared" si="32"/>
        <v>19.918367346938776</v>
      </c>
      <c r="I404">
        <v>67</v>
      </c>
      <c r="J404">
        <v>90</v>
      </c>
      <c r="K404">
        <v>5.15</v>
      </c>
      <c r="L404">
        <v>0</v>
      </c>
      <c r="M404">
        <v>0</v>
      </c>
      <c r="N404">
        <v>0</v>
      </c>
      <c r="O404">
        <v>68</v>
      </c>
      <c r="P404">
        <v>0</v>
      </c>
      <c r="Q404">
        <v>33</v>
      </c>
      <c r="R404">
        <v>29</v>
      </c>
      <c r="S404">
        <v>249</v>
      </c>
      <c r="T404">
        <v>4.7</v>
      </c>
      <c r="U404">
        <v>4.9000000000000004</v>
      </c>
      <c r="V404">
        <v>0</v>
      </c>
      <c r="W404">
        <f t="shared" si="44"/>
        <v>537.75340306141049</v>
      </c>
      <c r="X404">
        <f t="shared" si="45"/>
        <v>4.8042347489705035</v>
      </c>
    </row>
    <row r="405" spans="1:24" hidden="1" x14ac:dyDescent="0.2">
      <c r="A405" t="s">
        <v>872</v>
      </c>
      <c r="B405" t="s">
        <v>873</v>
      </c>
      <c r="C405">
        <v>2002</v>
      </c>
      <c r="D405">
        <v>1</v>
      </c>
      <c r="E405">
        <v>1</v>
      </c>
      <c r="F405">
        <v>101</v>
      </c>
      <c r="G405">
        <v>177</v>
      </c>
      <c r="H405">
        <f t="shared" si="32"/>
        <v>32.238501069296817</v>
      </c>
      <c r="I405">
        <v>101</v>
      </c>
      <c r="J405">
        <v>112</v>
      </c>
      <c r="K405">
        <v>5.99</v>
      </c>
      <c r="L405">
        <v>0</v>
      </c>
      <c r="M405">
        <v>1</v>
      </c>
      <c r="N405">
        <v>0</v>
      </c>
      <c r="O405">
        <v>327</v>
      </c>
      <c r="P405">
        <v>0</v>
      </c>
      <c r="Q405">
        <v>34</v>
      </c>
      <c r="R405">
        <v>111</v>
      </c>
      <c r="S405">
        <v>278</v>
      </c>
      <c r="T405">
        <v>10.5</v>
      </c>
      <c r="U405">
        <v>5.5</v>
      </c>
      <c r="V405">
        <v>1</v>
      </c>
      <c r="W405">
        <f t="shared" si="44"/>
        <v>991.34649802487263</v>
      </c>
      <c r="X405">
        <f t="shared" si="45"/>
        <v>95.20485219401435</v>
      </c>
    </row>
    <row r="406" spans="1:24" x14ac:dyDescent="0.2">
      <c r="A406" t="s">
        <v>694</v>
      </c>
      <c r="B406" t="s">
        <v>874</v>
      </c>
      <c r="C406">
        <v>1988</v>
      </c>
      <c r="D406">
        <v>1</v>
      </c>
      <c r="E406">
        <v>1</v>
      </c>
      <c r="F406">
        <v>69</v>
      </c>
      <c r="G406">
        <v>168</v>
      </c>
      <c r="H406">
        <f t="shared" si="32"/>
        <v>24.447278911564631</v>
      </c>
      <c r="I406">
        <v>85</v>
      </c>
      <c r="J406">
        <v>103</v>
      </c>
      <c r="K406">
        <v>5.82</v>
      </c>
      <c r="L406">
        <v>0</v>
      </c>
      <c r="M406">
        <v>0</v>
      </c>
      <c r="N406">
        <v>0</v>
      </c>
      <c r="O406">
        <v>1160</v>
      </c>
      <c r="P406">
        <v>0</v>
      </c>
      <c r="Q406">
        <v>48</v>
      </c>
      <c r="R406">
        <v>116</v>
      </c>
      <c r="S406">
        <v>245</v>
      </c>
      <c r="T406">
        <v>4.5999999999999996</v>
      </c>
      <c r="U406">
        <v>4.7</v>
      </c>
      <c r="V406">
        <v>0</v>
      </c>
      <c r="W406">
        <f>LN(O406*J406/2)*I406</f>
        <v>934.80935280045856</v>
      </c>
      <c r="X406">
        <f t="shared" si="45"/>
        <v>90.852731677565913</v>
      </c>
    </row>
    <row r="407" spans="1:24" x14ac:dyDescent="0.2">
      <c r="A407" t="s">
        <v>695</v>
      </c>
      <c r="B407" t="s">
        <v>198</v>
      </c>
      <c r="C407">
        <v>1978</v>
      </c>
      <c r="D407">
        <v>0</v>
      </c>
      <c r="E407">
        <v>1</v>
      </c>
      <c r="F407">
        <v>71</v>
      </c>
      <c r="G407">
        <v>157</v>
      </c>
      <c r="H407">
        <f t="shared" si="32"/>
        <v>28.804413972169254</v>
      </c>
      <c r="I407">
        <v>89</v>
      </c>
      <c r="J407">
        <v>101</v>
      </c>
      <c r="K407">
        <v>5.59</v>
      </c>
      <c r="L407">
        <v>0</v>
      </c>
      <c r="M407">
        <v>0</v>
      </c>
      <c r="N407">
        <v>0</v>
      </c>
      <c r="O407">
        <v>139</v>
      </c>
      <c r="P407">
        <v>0</v>
      </c>
      <c r="Q407">
        <v>47</v>
      </c>
      <c r="R407">
        <v>19</v>
      </c>
      <c r="S407">
        <v>262</v>
      </c>
      <c r="T407">
        <v>5.2</v>
      </c>
      <c r="U407">
        <v>4.9000000000000004</v>
      </c>
      <c r="V407">
        <v>0</v>
      </c>
      <c r="W407">
        <f>LN(O407*J407/2)*I407</f>
        <v>788.22380697766857</v>
      </c>
      <c r="X407">
        <f t="shared" si="45"/>
        <v>44.830399595951334</v>
      </c>
    </row>
    <row r="408" spans="1:24" x14ac:dyDescent="0.2">
      <c r="A408" t="s">
        <v>696</v>
      </c>
      <c r="B408" t="s">
        <v>697</v>
      </c>
      <c r="C408">
        <v>1982</v>
      </c>
      <c r="D408">
        <v>1</v>
      </c>
      <c r="E408">
        <v>1</v>
      </c>
      <c r="F408">
        <v>77</v>
      </c>
      <c r="G408">
        <v>165</v>
      </c>
      <c r="H408">
        <f t="shared" si="32"/>
        <v>28.282828282828287</v>
      </c>
      <c r="I408">
        <v>92</v>
      </c>
      <c r="J408">
        <v>90</v>
      </c>
      <c r="K408">
        <v>5.9</v>
      </c>
      <c r="L408">
        <v>0</v>
      </c>
      <c r="M408">
        <v>0</v>
      </c>
      <c r="N408">
        <v>0</v>
      </c>
      <c r="O408">
        <v>358</v>
      </c>
      <c r="P408">
        <v>0</v>
      </c>
      <c r="Q408">
        <v>59</v>
      </c>
      <c r="R408">
        <v>101</v>
      </c>
      <c r="S408">
        <v>258</v>
      </c>
      <c r="T408">
        <v>5.9</v>
      </c>
      <c r="U408">
        <v>5</v>
      </c>
      <c r="V408">
        <v>0</v>
      </c>
      <c r="W408">
        <f t="shared" ref="W408:W417" si="46">LN(O408*J408/2)*I408</f>
        <v>891.22198380773386</v>
      </c>
      <c r="X408">
        <f t="shared" si="45"/>
        <v>87.86936976121622</v>
      </c>
    </row>
    <row r="409" spans="1:24" x14ac:dyDescent="0.2">
      <c r="A409" t="s">
        <v>698</v>
      </c>
      <c r="B409" t="s">
        <v>699</v>
      </c>
      <c r="C409">
        <v>1985</v>
      </c>
      <c r="D409">
        <v>1</v>
      </c>
      <c r="E409">
        <v>1</v>
      </c>
      <c r="F409">
        <v>64</v>
      </c>
      <c r="G409">
        <v>168</v>
      </c>
      <c r="H409">
        <f t="shared" si="32"/>
        <v>22.67573696145125</v>
      </c>
      <c r="I409">
        <v>78</v>
      </c>
      <c r="J409">
        <v>94</v>
      </c>
      <c r="K409">
        <v>5.7</v>
      </c>
      <c r="L409">
        <v>0</v>
      </c>
      <c r="M409">
        <v>0</v>
      </c>
      <c r="N409">
        <v>0</v>
      </c>
      <c r="O409">
        <v>135</v>
      </c>
      <c r="P409">
        <v>0</v>
      </c>
      <c r="Q409">
        <v>39</v>
      </c>
      <c r="R409">
        <v>29</v>
      </c>
      <c r="S409">
        <v>264</v>
      </c>
      <c r="T409">
        <v>5.4</v>
      </c>
      <c r="U409">
        <v>5.2</v>
      </c>
      <c r="V409">
        <v>0</v>
      </c>
      <c r="W409">
        <f t="shared" si="46"/>
        <v>682.92294565158204</v>
      </c>
      <c r="X409">
        <f t="shared" si="45"/>
        <v>20.316530461990361</v>
      </c>
    </row>
    <row r="410" spans="1:24" x14ac:dyDescent="0.2">
      <c r="A410" t="s">
        <v>700</v>
      </c>
      <c r="B410" t="s">
        <v>701</v>
      </c>
      <c r="C410">
        <v>1982</v>
      </c>
      <c r="D410">
        <v>1</v>
      </c>
      <c r="E410">
        <v>1</v>
      </c>
      <c r="F410">
        <v>73</v>
      </c>
      <c r="G410">
        <v>171</v>
      </c>
      <c r="H410">
        <f t="shared" si="32"/>
        <v>24.964946479258579</v>
      </c>
      <c r="I410">
        <v>88</v>
      </c>
      <c r="J410">
        <v>123</v>
      </c>
      <c r="K410">
        <v>5.91</v>
      </c>
      <c r="L410">
        <v>0</v>
      </c>
      <c r="M410">
        <v>0</v>
      </c>
      <c r="N410">
        <v>0</v>
      </c>
      <c r="O410">
        <v>142</v>
      </c>
      <c r="P410">
        <v>0</v>
      </c>
      <c r="Q410">
        <v>46</v>
      </c>
      <c r="R410">
        <v>26</v>
      </c>
      <c r="S410">
        <v>215</v>
      </c>
      <c r="T410">
        <v>5.7</v>
      </c>
      <c r="U410">
        <v>4.3</v>
      </c>
      <c r="V410">
        <v>0</v>
      </c>
      <c r="W410">
        <f t="shared" si="46"/>
        <v>798.58805245240842</v>
      </c>
      <c r="X410">
        <f t="shared" si="45"/>
        <v>36.617629755247428</v>
      </c>
    </row>
    <row r="411" spans="1:24" x14ac:dyDescent="0.2">
      <c r="A411" t="s">
        <v>702</v>
      </c>
      <c r="B411" t="s">
        <v>703</v>
      </c>
      <c r="C411">
        <v>1975</v>
      </c>
      <c r="D411">
        <v>1</v>
      </c>
      <c r="E411">
        <v>1</v>
      </c>
      <c r="F411">
        <v>65</v>
      </c>
      <c r="G411">
        <v>165</v>
      </c>
      <c r="H411">
        <f t="shared" si="32"/>
        <v>23.875114784205696</v>
      </c>
      <c r="I411">
        <v>79</v>
      </c>
      <c r="J411">
        <v>108</v>
      </c>
      <c r="K411">
        <v>5.3</v>
      </c>
      <c r="L411">
        <v>0</v>
      </c>
      <c r="M411">
        <v>0</v>
      </c>
      <c r="N411">
        <v>0</v>
      </c>
      <c r="O411">
        <v>91</v>
      </c>
      <c r="P411">
        <v>0</v>
      </c>
      <c r="Q411">
        <v>47</v>
      </c>
      <c r="R411">
        <v>114</v>
      </c>
      <c r="S411">
        <v>319</v>
      </c>
      <c r="T411">
        <v>6.7</v>
      </c>
      <c r="U411">
        <v>6.7</v>
      </c>
      <c r="V411">
        <v>0</v>
      </c>
      <c r="W411">
        <f t="shared" si="46"/>
        <v>671.48764069340882</v>
      </c>
      <c r="X411">
        <f t="shared" si="45"/>
        <v>36.820632059987481</v>
      </c>
    </row>
    <row r="412" spans="1:24" x14ac:dyDescent="0.2">
      <c r="A412" t="s">
        <v>704</v>
      </c>
      <c r="B412" t="s">
        <v>705</v>
      </c>
      <c r="C412">
        <v>2000</v>
      </c>
      <c r="D412">
        <v>1</v>
      </c>
      <c r="E412">
        <v>1</v>
      </c>
      <c r="F412">
        <v>75</v>
      </c>
      <c r="G412">
        <v>173</v>
      </c>
      <c r="H412">
        <f t="shared" si="32"/>
        <v>25.059307026629689</v>
      </c>
      <c r="I412">
        <v>90</v>
      </c>
      <c r="J412">
        <v>96</v>
      </c>
      <c r="K412">
        <v>4.9400000000000004</v>
      </c>
      <c r="L412">
        <v>0</v>
      </c>
      <c r="M412">
        <v>0</v>
      </c>
      <c r="N412">
        <v>0</v>
      </c>
      <c r="O412">
        <v>147</v>
      </c>
      <c r="P412">
        <v>0</v>
      </c>
      <c r="Q412">
        <v>42</v>
      </c>
      <c r="R412">
        <v>37</v>
      </c>
      <c r="S412">
        <v>263</v>
      </c>
      <c r="T412">
        <v>8.5</v>
      </c>
      <c r="U412">
        <v>5.2</v>
      </c>
      <c r="V412">
        <v>0</v>
      </c>
      <c r="W412">
        <f t="shared" si="46"/>
        <v>797.54702379179639</v>
      </c>
      <c r="X412">
        <f t="shared" si="45"/>
        <v>46.425234477738194</v>
      </c>
    </row>
    <row r="413" spans="1:24" x14ac:dyDescent="0.2">
      <c r="A413" t="s">
        <v>706</v>
      </c>
      <c r="B413" t="s">
        <v>707</v>
      </c>
      <c r="C413">
        <v>2000</v>
      </c>
      <c r="D413">
        <v>1</v>
      </c>
      <c r="E413">
        <v>1</v>
      </c>
      <c r="F413">
        <v>75</v>
      </c>
      <c r="G413">
        <v>172</v>
      </c>
      <c r="H413">
        <f t="shared" si="32"/>
        <v>25.351541373715524</v>
      </c>
      <c r="I413">
        <v>85</v>
      </c>
      <c r="J413">
        <v>83</v>
      </c>
      <c r="K413">
        <v>5.35</v>
      </c>
      <c r="L413">
        <v>0</v>
      </c>
      <c r="M413">
        <v>0</v>
      </c>
      <c r="N413">
        <v>0</v>
      </c>
      <c r="O413">
        <v>236</v>
      </c>
      <c r="P413">
        <v>0</v>
      </c>
      <c r="Q413">
        <v>43</v>
      </c>
      <c r="R413">
        <v>36</v>
      </c>
      <c r="S413">
        <v>246</v>
      </c>
      <c r="T413">
        <v>5.6</v>
      </c>
      <c r="U413">
        <v>4.9000000000000004</v>
      </c>
      <c r="V413">
        <v>0</v>
      </c>
      <c r="W413">
        <f t="shared" si="46"/>
        <v>781.10964474229229</v>
      </c>
      <c r="X413">
        <f t="shared" si="45"/>
        <v>51.596021572504043</v>
      </c>
    </row>
    <row r="414" spans="1:24" x14ac:dyDescent="0.2">
      <c r="A414" t="s">
        <v>708</v>
      </c>
      <c r="B414" t="s">
        <v>709</v>
      </c>
      <c r="C414">
        <v>1987</v>
      </c>
      <c r="D414">
        <v>1</v>
      </c>
      <c r="E414">
        <v>1</v>
      </c>
      <c r="F414">
        <v>61</v>
      </c>
      <c r="G414">
        <v>163</v>
      </c>
      <c r="H414">
        <f t="shared" si="32"/>
        <v>22.959087658549439</v>
      </c>
      <c r="I414">
        <v>83</v>
      </c>
      <c r="J414">
        <v>96</v>
      </c>
      <c r="K414">
        <v>5.59</v>
      </c>
      <c r="L414">
        <v>0</v>
      </c>
      <c r="M414">
        <v>0</v>
      </c>
      <c r="N414">
        <v>0</v>
      </c>
      <c r="O414">
        <v>224</v>
      </c>
      <c r="P414">
        <v>0</v>
      </c>
      <c r="Q414">
        <v>45</v>
      </c>
      <c r="R414">
        <v>20</v>
      </c>
      <c r="S414">
        <v>308</v>
      </c>
      <c r="T414">
        <v>4.9000000000000004</v>
      </c>
      <c r="U414">
        <v>6.1</v>
      </c>
      <c r="V414">
        <v>0</v>
      </c>
      <c r="W414">
        <f t="shared" si="46"/>
        <v>770.4763062093233</v>
      </c>
      <c r="X414">
        <f>100*EXP(0.953*LN(O414)+0.139*H414+0.718*LN(R414)+0.053*I414-15.745)/(1+EXP(0.953*LN(O414)+0.139*H414+0.718*LN(R414)+0.053*I414-15.745))</f>
        <v>30.017758601797613</v>
      </c>
    </row>
    <row r="415" spans="1:24" x14ac:dyDescent="0.2">
      <c r="A415" t="s">
        <v>710</v>
      </c>
      <c r="B415" t="s">
        <v>711</v>
      </c>
      <c r="C415">
        <v>1985</v>
      </c>
      <c r="D415">
        <v>0</v>
      </c>
      <c r="E415">
        <v>1</v>
      </c>
      <c r="F415">
        <v>51</v>
      </c>
      <c r="G415">
        <v>154</v>
      </c>
      <c r="H415">
        <f t="shared" si="32"/>
        <v>21.504469556417607</v>
      </c>
      <c r="I415">
        <v>75</v>
      </c>
      <c r="J415">
        <v>96</v>
      </c>
      <c r="K415">
        <v>5.29</v>
      </c>
      <c r="L415">
        <v>0</v>
      </c>
      <c r="M415">
        <v>0</v>
      </c>
      <c r="N415">
        <v>0</v>
      </c>
      <c r="O415">
        <v>100</v>
      </c>
      <c r="P415">
        <v>0</v>
      </c>
      <c r="Q415">
        <v>49</v>
      </c>
      <c r="R415">
        <v>21</v>
      </c>
      <c r="S415">
        <v>234</v>
      </c>
      <c r="T415">
        <v>5.2</v>
      </c>
      <c r="U415">
        <v>4.5</v>
      </c>
      <c r="V415">
        <v>0</v>
      </c>
      <c r="W415">
        <f t="shared" si="46"/>
        <v>635.7278397671987</v>
      </c>
      <c r="X415">
        <f t="shared" si="45"/>
        <v>9.9196497969536299</v>
      </c>
    </row>
    <row r="416" spans="1:24" x14ac:dyDescent="0.2">
      <c r="A416" t="s">
        <v>712</v>
      </c>
      <c r="B416" t="s">
        <v>713</v>
      </c>
      <c r="C416">
        <v>1992</v>
      </c>
      <c r="D416">
        <v>1</v>
      </c>
      <c r="E416">
        <v>1</v>
      </c>
      <c r="F416">
        <v>66</v>
      </c>
      <c r="G416">
        <v>164</v>
      </c>
      <c r="H416">
        <f t="shared" si="32"/>
        <v>24.538964901844146</v>
      </c>
      <c r="I416">
        <v>84</v>
      </c>
      <c r="J416">
        <v>86</v>
      </c>
      <c r="K416">
        <v>5.46</v>
      </c>
      <c r="L416">
        <v>0</v>
      </c>
      <c r="M416">
        <v>0</v>
      </c>
      <c r="N416">
        <v>0</v>
      </c>
      <c r="O416">
        <v>163</v>
      </c>
      <c r="P416">
        <v>0</v>
      </c>
      <c r="Q416">
        <v>59</v>
      </c>
      <c r="R416">
        <v>89</v>
      </c>
      <c r="S416">
        <v>224</v>
      </c>
      <c r="T416">
        <v>5.9</v>
      </c>
      <c r="U416">
        <v>4.4000000000000004</v>
      </c>
      <c r="V416">
        <v>0</v>
      </c>
      <c r="W416">
        <f t="shared" si="46"/>
        <v>743.81582658602736</v>
      </c>
      <c r="X416">
        <f t="shared" si="45"/>
        <v>54.862111404508838</v>
      </c>
    </row>
    <row r="417" spans="1:24" x14ac:dyDescent="0.2">
      <c r="A417" t="s">
        <v>714</v>
      </c>
      <c r="B417" t="s">
        <v>715</v>
      </c>
      <c r="C417">
        <v>2003</v>
      </c>
      <c r="D417">
        <v>1</v>
      </c>
      <c r="E417">
        <v>1</v>
      </c>
      <c r="F417">
        <v>77</v>
      </c>
      <c r="G417">
        <v>172</v>
      </c>
      <c r="H417">
        <f t="shared" si="32"/>
        <v>26.027582477014604</v>
      </c>
      <c r="I417">
        <v>89</v>
      </c>
      <c r="J417">
        <v>99</v>
      </c>
      <c r="K417">
        <v>5.52</v>
      </c>
      <c r="L417">
        <v>0</v>
      </c>
      <c r="M417">
        <v>0</v>
      </c>
      <c r="N417">
        <v>0</v>
      </c>
      <c r="O417">
        <v>46</v>
      </c>
      <c r="P417">
        <v>0</v>
      </c>
      <c r="Q417">
        <v>51</v>
      </c>
      <c r="R417">
        <v>26</v>
      </c>
      <c r="S417">
        <v>222</v>
      </c>
      <c r="T417">
        <v>5.3</v>
      </c>
      <c r="U417">
        <v>4.5</v>
      </c>
      <c r="V417">
        <v>0</v>
      </c>
      <c r="W417">
        <f t="shared" si="46"/>
        <v>688.02465187967277</v>
      </c>
      <c r="X417">
        <f t="shared" si="45"/>
        <v>19.432358306758701</v>
      </c>
    </row>
    <row r="418" spans="1:24" x14ac:dyDescent="0.2">
      <c r="A418" t="s">
        <v>716</v>
      </c>
      <c r="B418" t="s">
        <v>717</v>
      </c>
      <c r="C418">
        <v>1998</v>
      </c>
      <c r="D418">
        <v>1</v>
      </c>
      <c r="E418">
        <v>1</v>
      </c>
      <c r="F418">
        <v>70</v>
      </c>
      <c r="G418">
        <v>188</v>
      </c>
      <c r="H418">
        <f t="shared" si="32"/>
        <v>19.805341783612494</v>
      </c>
      <c r="I418">
        <v>84</v>
      </c>
      <c r="J418">
        <v>101</v>
      </c>
      <c r="K418">
        <v>5.61</v>
      </c>
      <c r="L418">
        <v>0</v>
      </c>
      <c r="M418">
        <v>0</v>
      </c>
      <c r="N418">
        <v>0</v>
      </c>
      <c r="O418">
        <v>82</v>
      </c>
      <c r="P418">
        <v>0</v>
      </c>
      <c r="Q418">
        <v>50</v>
      </c>
      <c r="R418">
        <v>23</v>
      </c>
      <c r="S418">
        <v>239</v>
      </c>
      <c r="T418">
        <v>7</v>
      </c>
      <c r="U418">
        <v>4.5</v>
      </c>
      <c r="V418">
        <v>0</v>
      </c>
      <c r="W418">
        <f>LN(O418*J418/2)*I418</f>
        <v>699.61017701782771</v>
      </c>
      <c r="X418">
        <f t="shared" si="45"/>
        <v>11.015398284082234</v>
      </c>
    </row>
    <row r="419" spans="1:24" x14ac:dyDescent="0.2">
      <c r="A419" t="s">
        <v>718</v>
      </c>
      <c r="B419" t="s">
        <v>719</v>
      </c>
      <c r="C419">
        <v>1991</v>
      </c>
      <c r="D419">
        <v>0</v>
      </c>
      <c r="E419">
        <v>1</v>
      </c>
      <c r="F419">
        <v>49</v>
      </c>
      <c r="G419">
        <v>155</v>
      </c>
      <c r="H419">
        <f t="shared" si="32"/>
        <v>20.39542143600416</v>
      </c>
      <c r="I419">
        <v>77</v>
      </c>
      <c r="J419">
        <v>92</v>
      </c>
      <c r="K419">
        <v>6.01</v>
      </c>
      <c r="L419">
        <v>0</v>
      </c>
      <c r="M419">
        <v>0</v>
      </c>
      <c r="N419">
        <v>0</v>
      </c>
      <c r="O419">
        <v>250</v>
      </c>
      <c r="P419">
        <v>0</v>
      </c>
      <c r="Q419">
        <v>38</v>
      </c>
      <c r="R419">
        <v>48</v>
      </c>
      <c r="S419">
        <v>229</v>
      </c>
      <c r="T419">
        <v>6.9</v>
      </c>
      <c r="U419">
        <v>4.5</v>
      </c>
      <c r="V419">
        <v>0</v>
      </c>
      <c r="W419">
        <f>LN(O419*J419/2)*I419</f>
        <v>719.95787820505325</v>
      </c>
      <c r="X419">
        <f t="shared" si="45"/>
        <v>31.269242928541697</v>
      </c>
    </row>
    <row r="420" spans="1:24" hidden="1" x14ac:dyDescent="0.2">
      <c r="A420" t="s">
        <v>720</v>
      </c>
      <c r="B420" t="s">
        <v>721</v>
      </c>
      <c r="C420">
        <v>1984</v>
      </c>
      <c r="D420">
        <v>1</v>
      </c>
      <c r="E420">
        <v>1</v>
      </c>
      <c r="F420">
        <v>58</v>
      </c>
      <c r="G420">
        <v>169</v>
      </c>
      <c r="H420">
        <f t="shared" si="32"/>
        <v>20.307412205454995</v>
      </c>
      <c r="I420">
        <v>74</v>
      </c>
      <c r="J420">
        <v>103</v>
      </c>
      <c r="K420">
        <v>4.6500000000000004</v>
      </c>
      <c r="L420">
        <v>0</v>
      </c>
      <c r="M420">
        <v>0</v>
      </c>
      <c r="N420">
        <v>0</v>
      </c>
      <c r="O420">
        <v>90</v>
      </c>
      <c r="P420">
        <v>0</v>
      </c>
      <c r="Q420">
        <v>45</v>
      </c>
      <c r="R420">
        <v>189</v>
      </c>
      <c r="S420">
        <v>219</v>
      </c>
      <c r="T420">
        <v>6.9</v>
      </c>
      <c r="U420">
        <v>4.7</v>
      </c>
      <c r="V420">
        <v>1</v>
      </c>
      <c r="W420">
        <f t="shared" ref="W420:W432" si="47">LN(O420*J420/2)*I420</f>
        <v>624.66296937199672</v>
      </c>
      <c r="X420">
        <f t="shared" si="45"/>
        <v>27.921139166903348</v>
      </c>
    </row>
    <row r="421" spans="1:24" x14ac:dyDescent="0.2">
      <c r="A421" t="s">
        <v>722</v>
      </c>
      <c r="B421" t="s">
        <v>723</v>
      </c>
      <c r="C421">
        <v>1982</v>
      </c>
      <c r="D421">
        <v>1</v>
      </c>
      <c r="E421">
        <v>1</v>
      </c>
      <c r="F421">
        <v>71</v>
      </c>
      <c r="G421">
        <v>165</v>
      </c>
      <c r="H421">
        <f t="shared" si="32"/>
        <v>26.078971533516992</v>
      </c>
      <c r="I421">
        <v>92</v>
      </c>
      <c r="J421">
        <v>79</v>
      </c>
      <c r="K421">
        <v>5.5</v>
      </c>
      <c r="L421">
        <v>0</v>
      </c>
      <c r="M421">
        <v>0</v>
      </c>
      <c r="N421">
        <v>0</v>
      </c>
      <c r="O421">
        <v>217</v>
      </c>
      <c r="P421">
        <v>0</v>
      </c>
      <c r="Q421">
        <v>44</v>
      </c>
      <c r="R421">
        <v>31</v>
      </c>
      <c r="S421">
        <v>248</v>
      </c>
      <c r="T421">
        <v>8.1</v>
      </c>
      <c r="U421">
        <v>5</v>
      </c>
      <c r="V421">
        <v>0</v>
      </c>
      <c r="W421">
        <f t="shared" si="47"/>
        <v>833.17021834117327</v>
      </c>
      <c r="X421">
        <f t="shared" si="45"/>
        <v>58.628338589334795</v>
      </c>
    </row>
    <row r="422" spans="1:24" x14ac:dyDescent="0.2">
      <c r="A422" t="s">
        <v>724</v>
      </c>
      <c r="B422" t="s">
        <v>725</v>
      </c>
      <c r="C422">
        <v>1992</v>
      </c>
      <c r="D422">
        <v>1</v>
      </c>
      <c r="E422">
        <v>1</v>
      </c>
      <c r="F422">
        <v>75</v>
      </c>
      <c r="G422">
        <v>169</v>
      </c>
      <c r="H422">
        <f t="shared" si="32"/>
        <v>26.259584748433181</v>
      </c>
      <c r="I422">
        <v>88</v>
      </c>
      <c r="J422">
        <v>79</v>
      </c>
      <c r="K422">
        <v>4.8099999999999996</v>
      </c>
      <c r="L422">
        <v>0</v>
      </c>
      <c r="M422">
        <v>0</v>
      </c>
      <c r="N422">
        <v>0</v>
      </c>
      <c r="O422">
        <v>169</v>
      </c>
      <c r="P422">
        <v>0</v>
      </c>
      <c r="Q422">
        <v>58</v>
      </c>
      <c r="R422">
        <v>51</v>
      </c>
      <c r="S422">
        <v>276</v>
      </c>
      <c r="T422">
        <v>7.1</v>
      </c>
      <c r="U422">
        <v>5.3</v>
      </c>
      <c r="V422">
        <v>0</v>
      </c>
      <c r="W422">
        <f t="shared" si="47"/>
        <v>774.94554604105315</v>
      </c>
      <c r="X422">
        <f t="shared" si="45"/>
        <v>56.977336772862159</v>
      </c>
    </row>
    <row r="423" spans="1:24" x14ac:dyDescent="0.2">
      <c r="A423" t="s">
        <v>726</v>
      </c>
      <c r="B423" t="s">
        <v>727</v>
      </c>
      <c r="C423">
        <v>1989</v>
      </c>
      <c r="D423">
        <v>0</v>
      </c>
      <c r="E423">
        <v>1</v>
      </c>
      <c r="F423">
        <v>49</v>
      </c>
      <c r="G423">
        <v>155</v>
      </c>
      <c r="H423">
        <f t="shared" si="32"/>
        <v>20.39542143600416</v>
      </c>
      <c r="I423">
        <v>78</v>
      </c>
      <c r="J423">
        <v>76</v>
      </c>
      <c r="K423">
        <v>5.4</v>
      </c>
      <c r="L423">
        <v>0</v>
      </c>
      <c r="M423">
        <v>0</v>
      </c>
      <c r="N423">
        <v>0</v>
      </c>
      <c r="O423">
        <v>85</v>
      </c>
      <c r="P423">
        <v>0</v>
      </c>
      <c r="Q423">
        <v>50</v>
      </c>
      <c r="R423">
        <v>36</v>
      </c>
      <c r="S423">
        <v>268</v>
      </c>
      <c r="T423">
        <v>5.6</v>
      </c>
      <c r="U423">
        <v>5.3</v>
      </c>
      <c r="V423">
        <v>0</v>
      </c>
      <c r="W423">
        <f t="shared" si="47"/>
        <v>630.25851846490275</v>
      </c>
      <c r="X423">
        <f>100*EXP(0.953*LN(O423)+0.139*H423+0.718*LN(R423)+0.053*I423-15.745)/(1+EXP(0.953*LN(O423)+0.139*H423+0.718*LN(R423)+0.053*I423-15.745))</f>
        <v>12.247234994031741</v>
      </c>
    </row>
    <row r="424" spans="1:24" x14ac:dyDescent="0.2">
      <c r="A424" t="s">
        <v>728</v>
      </c>
      <c r="B424" t="s">
        <v>729</v>
      </c>
      <c r="C424">
        <v>1972</v>
      </c>
      <c r="D424">
        <v>0</v>
      </c>
      <c r="E424">
        <v>1</v>
      </c>
      <c r="F424">
        <v>59</v>
      </c>
      <c r="G424">
        <v>145</v>
      </c>
      <c r="H424">
        <f t="shared" si="32"/>
        <v>28.061831153388823</v>
      </c>
      <c r="I424">
        <v>87</v>
      </c>
      <c r="J424">
        <v>90</v>
      </c>
      <c r="K424">
        <v>8.8000000000000007</v>
      </c>
      <c r="L424">
        <v>1</v>
      </c>
      <c r="M424">
        <v>0</v>
      </c>
      <c r="N424">
        <v>0</v>
      </c>
      <c r="O424">
        <v>113</v>
      </c>
      <c r="P424">
        <v>0</v>
      </c>
      <c r="Q424">
        <v>58</v>
      </c>
      <c r="R424">
        <v>45</v>
      </c>
      <c r="S424">
        <v>269</v>
      </c>
      <c r="T424">
        <v>7</v>
      </c>
      <c r="U424">
        <v>5.4</v>
      </c>
      <c r="V424">
        <v>0</v>
      </c>
      <c r="W424">
        <f t="shared" si="47"/>
        <v>742.46237683799143</v>
      </c>
      <c r="X424">
        <f t="shared" si="45"/>
        <v>50.124469473109031</v>
      </c>
    </row>
    <row r="425" spans="1:24" x14ac:dyDescent="0.2">
      <c r="A425" t="s">
        <v>730</v>
      </c>
      <c r="B425" t="s">
        <v>731</v>
      </c>
      <c r="C425">
        <v>1994</v>
      </c>
      <c r="D425">
        <v>1</v>
      </c>
      <c r="E425">
        <v>1</v>
      </c>
      <c r="F425">
        <v>60</v>
      </c>
      <c r="G425">
        <v>162</v>
      </c>
      <c r="H425">
        <f t="shared" si="32"/>
        <v>22.862368541380881</v>
      </c>
      <c r="I425">
        <v>83</v>
      </c>
      <c r="J425">
        <v>83</v>
      </c>
      <c r="K425">
        <v>5.37</v>
      </c>
      <c r="L425">
        <v>0</v>
      </c>
      <c r="M425">
        <v>0</v>
      </c>
      <c r="N425">
        <v>0</v>
      </c>
      <c r="O425">
        <v>95</v>
      </c>
      <c r="P425">
        <v>0</v>
      </c>
      <c r="Q425">
        <v>40</v>
      </c>
      <c r="R425">
        <v>22</v>
      </c>
      <c r="S425">
        <v>247</v>
      </c>
      <c r="T425">
        <v>6.5</v>
      </c>
      <c r="U425">
        <v>4.8</v>
      </c>
      <c r="V425">
        <v>0</v>
      </c>
      <c r="W425">
        <f t="shared" si="47"/>
        <v>687.20433646348704</v>
      </c>
      <c r="X425">
        <f t="shared" si="45"/>
        <v>16.673894293521123</v>
      </c>
    </row>
    <row r="426" spans="1:24" x14ac:dyDescent="0.2">
      <c r="A426" t="s">
        <v>734</v>
      </c>
      <c r="B426" t="s">
        <v>735</v>
      </c>
      <c r="C426">
        <v>1984</v>
      </c>
      <c r="D426">
        <v>0</v>
      </c>
      <c r="E426">
        <v>1</v>
      </c>
      <c r="F426">
        <v>60</v>
      </c>
      <c r="G426">
        <v>153</v>
      </c>
      <c r="H426">
        <f t="shared" si="32"/>
        <v>25.631167499679609</v>
      </c>
      <c r="I426">
        <v>81</v>
      </c>
      <c r="J426">
        <v>128</v>
      </c>
      <c r="K426">
        <v>7.3</v>
      </c>
      <c r="L426">
        <v>0</v>
      </c>
      <c r="M426">
        <v>0</v>
      </c>
      <c r="N426">
        <v>0</v>
      </c>
      <c r="O426">
        <v>142</v>
      </c>
      <c r="P426">
        <v>0</v>
      </c>
      <c r="Q426">
        <v>51</v>
      </c>
      <c r="R426">
        <v>44</v>
      </c>
      <c r="S426">
        <v>272</v>
      </c>
      <c r="T426">
        <v>10</v>
      </c>
      <c r="U426">
        <v>5.4</v>
      </c>
      <c r="V426">
        <v>0</v>
      </c>
      <c r="W426">
        <f t="shared" si="47"/>
        <v>738.2915214178355</v>
      </c>
      <c r="X426">
        <f t="shared" si="45"/>
        <v>38.952331642758516</v>
      </c>
    </row>
    <row r="427" spans="1:24" x14ac:dyDescent="0.2">
      <c r="A427" t="s">
        <v>736</v>
      </c>
      <c r="B427" t="s">
        <v>737</v>
      </c>
      <c r="C427">
        <v>1991</v>
      </c>
      <c r="D427">
        <v>1</v>
      </c>
      <c r="E427">
        <v>1</v>
      </c>
      <c r="F427">
        <v>79</v>
      </c>
      <c r="G427">
        <v>171</v>
      </c>
      <c r="H427">
        <f t="shared" si="32"/>
        <v>27.016859888512709</v>
      </c>
      <c r="I427">
        <v>96</v>
      </c>
      <c r="J427">
        <v>86</v>
      </c>
      <c r="K427">
        <v>5.4</v>
      </c>
      <c r="L427">
        <v>0</v>
      </c>
      <c r="M427">
        <v>0</v>
      </c>
      <c r="N427">
        <v>0</v>
      </c>
      <c r="O427">
        <v>187</v>
      </c>
      <c r="P427">
        <v>0</v>
      </c>
      <c r="Q427">
        <v>50</v>
      </c>
      <c r="R427">
        <v>104</v>
      </c>
      <c r="S427">
        <v>262</v>
      </c>
      <c r="T427">
        <v>6.6</v>
      </c>
      <c r="U427">
        <v>5</v>
      </c>
      <c r="V427">
        <v>0</v>
      </c>
      <c r="W427">
        <f t="shared" si="47"/>
        <v>863.26163832462237</v>
      </c>
      <c r="X427">
        <f t="shared" si="45"/>
        <v>80.50659184014637</v>
      </c>
    </row>
    <row r="428" spans="1:24" hidden="1" x14ac:dyDescent="0.2">
      <c r="A428" t="s">
        <v>875</v>
      </c>
      <c r="B428" t="s">
        <v>876</v>
      </c>
      <c r="C428">
        <v>1978</v>
      </c>
      <c r="D428">
        <v>1</v>
      </c>
      <c r="E428">
        <v>1</v>
      </c>
      <c r="F428">
        <v>83</v>
      </c>
      <c r="G428">
        <v>173</v>
      </c>
      <c r="H428">
        <f t="shared" si="32"/>
        <v>27.732299776136855</v>
      </c>
      <c r="I428">
        <v>99</v>
      </c>
      <c r="J428">
        <v>97</v>
      </c>
      <c r="K428">
        <v>5.7</v>
      </c>
      <c r="L428">
        <v>0</v>
      </c>
      <c r="M428">
        <v>0</v>
      </c>
      <c r="N428">
        <v>0</v>
      </c>
      <c r="O428">
        <v>266</v>
      </c>
      <c r="P428">
        <v>0</v>
      </c>
      <c r="Q428">
        <v>37</v>
      </c>
      <c r="R428">
        <v>42</v>
      </c>
      <c r="S428">
        <v>227</v>
      </c>
      <c r="T428">
        <v>10.6</v>
      </c>
      <c r="U428">
        <v>4.5999999999999996</v>
      </c>
      <c r="V428">
        <v>1</v>
      </c>
      <c r="W428">
        <f t="shared" si="47"/>
        <v>937.04095056578853</v>
      </c>
      <c r="X428">
        <f t="shared" si="45"/>
        <v>79.600474889184369</v>
      </c>
    </row>
    <row r="429" spans="1:24" x14ac:dyDescent="0.2">
      <c r="A429" t="s">
        <v>738</v>
      </c>
      <c r="B429" t="s">
        <v>739</v>
      </c>
      <c r="C429">
        <v>1987</v>
      </c>
      <c r="D429">
        <v>1</v>
      </c>
      <c r="E429">
        <v>1</v>
      </c>
      <c r="F429">
        <v>72</v>
      </c>
      <c r="G429">
        <v>163</v>
      </c>
      <c r="H429">
        <f t="shared" si="32"/>
        <v>27.099251006812452</v>
      </c>
      <c r="I429">
        <v>96</v>
      </c>
      <c r="J429">
        <v>105</v>
      </c>
      <c r="K429">
        <v>5.41</v>
      </c>
      <c r="L429">
        <v>0</v>
      </c>
      <c r="M429">
        <v>0</v>
      </c>
      <c r="N429">
        <v>0</v>
      </c>
      <c r="O429">
        <v>642</v>
      </c>
      <c r="P429">
        <v>0</v>
      </c>
      <c r="Q429">
        <v>41</v>
      </c>
      <c r="R429">
        <v>243</v>
      </c>
      <c r="S429">
        <v>252</v>
      </c>
      <c r="T429">
        <v>7.1</v>
      </c>
      <c r="U429">
        <v>4.9000000000000004</v>
      </c>
      <c r="V429">
        <v>0</v>
      </c>
      <c r="W429">
        <f t="shared" si="47"/>
        <v>1000.8385414356038</v>
      </c>
      <c r="X429">
        <f t="shared" si="45"/>
        <v>96.137878158897365</v>
      </c>
    </row>
    <row r="430" spans="1:24" x14ac:dyDescent="0.2">
      <c r="A430" t="s">
        <v>740</v>
      </c>
      <c r="B430" t="s">
        <v>741</v>
      </c>
      <c r="C430">
        <v>1969</v>
      </c>
      <c r="D430">
        <v>0</v>
      </c>
      <c r="E430">
        <v>1</v>
      </c>
      <c r="F430">
        <v>52</v>
      </c>
      <c r="G430">
        <v>157</v>
      </c>
      <c r="H430">
        <f t="shared" si="32"/>
        <v>21.096190514828187</v>
      </c>
      <c r="I430">
        <v>74</v>
      </c>
      <c r="J430">
        <v>88</v>
      </c>
      <c r="K430">
        <v>5.6</v>
      </c>
      <c r="L430">
        <v>0</v>
      </c>
      <c r="M430">
        <v>0</v>
      </c>
      <c r="N430">
        <v>1</v>
      </c>
      <c r="O430">
        <v>89</v>
      </c>
      <c r="P430">
        <v>0</v>
      </c>
      <c r="Q430">
        <v>57</v>
      </c>
      <c r="R430">
        <v>12</v>
      </c>
      <c r="S430">
        <v>232</v>
      </c>
      <c r="T430">
        <v>6.2</v>
      </c>
      <c r="U430">
        <v>4.5999999999999996</v>
      </c>
      <c r="V430">
        <v>0</v>
      </c>
      <c r="W430">
        <f t="shared" si="47"/>
        <v>612.1891242701297</v>
      </c>
      <c r="X430">
        <f t="shared" si="45"/>
        <v>5.5787780931148134</v>
      </c>
    </row>
    <row r="431" spans="1:24" x14ac:dyDescent="0.2">
      <c r="A431" t="s">
        <v>742</v>
      </c>
      <c r="B431" t="s">
        <v>743</v>
      </c>
      <c r="C431">
        <v>1978</v>
      </c>
      <c r="D431">
        <v>0</v>
      </c>
      <c r="E431">
        <v>1</v>
      </c>
      <c r="F431">
        <v>57</v>
      </c>
      <c r="G431">
        <v>151</v>
      </c>
      <c r="H431">
        <f t="shared" si="32"/>
        <v>24.998903556861542</v>
      </c>
      <c r="I431">
        <v>86</v>
      </c>
      <c r="J431">
        <v>133</v>
      </c>
      <c r="K431">
        <v>7.27</v>
      </c>
      <c r="L431">
        <v>0</v>
      </c>
      <c r="M431">
        <v>0</v>
      </c>
      <c r="N431">
        <v>0</v>
      </c>
      <c r="O431">
        <v>196</v>
      </c>
      <c r="P431">
        <v>0</v>
      </c>
      <c r="Q431">
        <v>38</v>
      </c>
      <c r="R431">
        <v>138</v>
      </c>
      <c r="S431">
        <v>282</v>
      </c>
      <c r="T431">
        <v>7.2</v>
      </c>
      <c r="U431">
        <v>5.6</v>
      </c>
      <c r="V431">
        <v>0</v>
      </c>
      <c r="W431">
        <f t="shared" si="47"/>
        <v>814.87722819274006</v>
      </c>
      <c r="X431">
        <f t="shared" si="45"/>
        <v>70.175290007918974</v>
      </c>
    </row>
    <row r="432" spans="1:24" x14ac:dyDescent="0.2">
      <c r="A432" t="s">
        <v>732</v>
      </c>
      <c r="B432" t="s">
        <v>733</v>
      </c>
      <c r="C432">
        <v>2001</v>
      </c>
      <c r="D432">
        <v>0</v>
      </c>
      <c r="E432">
        <v>1</v>
      </c>
      <c r="F432">
        <v>68</v>
      </c>
      <c r="G432">
        <v>152</v>
      </c>
      <c r="H432">
        <f t="shared" si="32"/>
        <v>29.43213296398892</v>
      </c>
      <c r="I432">
        <v>80</v>
      </c>
      <c r="J432">
        <v>96</v>
      </c>
      <c r="K432">
        <v>5.85</v>
      </c>
      <c r="L432">
        <v>0</v>
      </c>
      <c r="M432">
        <v>0</v>
      </c>
      <c r="N432">
        <v>0</v>
      </c>
      <c r="O432">
        <v>115</v>
      </c>
      <c r="P432">
        <v>0</v>
      </c>
      <c r="Q432">
        <v>51</v>
      </c>
      <c r="R432">
        <v>54</v>
      </c>
      <c r="S432">
        <v>325</v>
      </c>
      <c r="T432">
        <v>7.4</v>
      </c>
      <c r="U432">
        <v>7</v>
      </c>
      <c r="V432">
        <v>0</v>
      </c>
      <c r="W432">
        <f t="shared" si="47"/>
        <v>689.29065114169134</v>
      </c>
      <c r="X432">
        <f t="shared" si="45"/>
        <v>49.301978995793789</v>
      </c>
    </row>
    <row r="433" spans="1:24" hidden="1" x14ac:dyDescent="0.2">
      <c r="A433" t="s">
        <v>877</v>
      </c>
      <c r="B433" t="s">
        <v>878</v>
      </c>
      <c r="C433">
        <v>1995</v>
      </c>
      <c r="D433">
        <v>1</v>
      </c>
      <c r="E433">
        <v>1</v>
      </c>
      <c r="F433">
        <v>67</v>
      </c>
      <c r="G433">
        <v>172</v>
      </c>
      <c r="H433">
        <f t="shared" si="32"/>
        <v>22.647376960519203</v>
      </c>
      <c r="I433">
        <v>91</v>
      </c>
      <c r="J433">
        <v>96</v>
      </c>
      <c r="K433">
        <v>5.29</v>
      </c>
      <c r="L433">
        <v>0</v>
      </c>
      <c r="M433">
        <v>0</v>
      </c>
      <c r="N433">
        <v>0</v>
      </c>
      <c r="O433">
        <v>163</v>
      </c>
      <c r="P433">
        <v>0</v>
      </c>
      <c r="Q433">
        <v>45</v>
      </c>
      <c r="R433">
        <v>148</v>
      </c>
      <c r="S433">
        <v>247</v>
      </c>
      <c r="T433">
        <v>5.4</v>
      </c>
      <c r="U433">
        <v>4.7</v>
      </c>
      <c r="V433">
        <v>1</v>
      </c>
      <c r="W433">
        <f>LN(O433*J433/2)*I433</f>
        <v>815.81056026603346</v>
      </c>
      <c r="X433">
        <f t="shared" si="45"/>
        <v>66.112861370768726</v>
      </c>
    </row>
    <row r="434" spans="1:24" hidden="1" x14ac:dyDescent="0.2">
      <c r="A434" t="s">
        <v>879</v>
      </c>
      <c r="B434" t="s">
        <v>880</v>
      </c>
      <c r="C434">
        <v>1988</v>
      </c>
      <c r="D434">
        <v>1</v>
      </c>
      <c r="E434">
        <v>1</v>
      </c>
      <c r="F434">
        <v>81</v>
      </c>
      <c r="G434">
        <v>175</v>
      </c>
      <c r="H434">
        <f t="shared" si="32"/>
        <v>26.448979591836736</v>
      </c>
      <c r="I434">
        <v>101</v>
      </c>
      <c r="J434">
        <v>94</v>
      </c>
      <c r="K434">
        <v>5.7</v>
      </c>
      <c r="L434">
        <v>0</v>
      </c>
      <c r="M434">
        <v>0</v>
      </c>
      <c r="N434">
        <v>0</v>
      </c>
      <c r="O434">
        <v>306</v>
      </c>
      <c r="P434">
        <v>0</v>
      </c>
      <c r="Q434">
        <v>46</v>
      </c>
      <c r="R434">
        <v>45</v>
      </c>
      <c r="S434">
        <v>252</v>
      </c>
      <c r="T434">
        <v>4.7</v>
      </c>
      <c r="U434">
        <v>4.9000000000000004</v>
      </c>
      <c r="W434">
        <f>LN(O434*J434/2)*I434</f>
        <v>966.94700306990649</v>
      </c>
      <c r="X434">
        <f t="shared" si="45"/>
        <v>81.338675345834986</v>
      </c>
    </row>
    <row r="435" spans="1:24" x14ac:dyDescent="0.2">
      <c r="A435" t="s">
        <v>881</v>
      </c>
      <c r="B435" t="s">
        <v>882</v>
      </c>
      <c r="C435">
        <v>1994</v>
      </c>
      <c r="D435">
        <v>1</v>
      </c>
      <c r="E435">
        <v>1</v>
      </c>
      <c r="F435">
        <v>69</v>
      </c>
      <c r="G435">
        <v>170</v>
      </c>
      <c r="H435">
        <f t="shared" si="32"/>
        <v>23.87543252595156</v>
      </c>
      <c r="I435">
        <v>84</v>
      </c>
      <c r="J435">
        <v>86</v>
      </c>
      <c r="K435">
        <v>4.7</v>
      </c>
      <c r="L435">
        <v>0</v>
      </c>
      <c r="M435">
        <v>0</v>
      </c>
      <c r="N435">
        <v>0</v>
      </c>
      <c r="O435">
        <v>165</v>
      </c>
      <c r="P435">
        <v>0</v>
      </c>
      <c r="Q435">
        <v>35</v>
      </c>
      <c r="R435">
        <v>43</v>
      </c>
      <c r="S435">
        <v>226</v>
      </c>
      <c r="T435">
        <v>7.3</v>
      </c>
      <c r="U435">
        <v>4.2</v>
      </c>
      <c r="V435">
        <v>0</v>
      </c>
      <c r="W435">
        <f t="shared" ref="W435:W444" si="48">LN(O435*J435/2)*I435</f>
        <v>744.84022952590806</v>
      </c>
      <c r="X435">
        <f t="shared" si="45"/>
        <v>39.943803960942546</v>
      </c>
    </row>
    <row r="436" spans="1:24" x14ac:dyDescent="0.2">
      <c r="A436" t="s">
        <v>883</v>
      </c>
      <c r="B436" t="s">
        <v>884</v>
      </c>
      <c r="C436">
        <v>1980</v>
      </c>
      <c r="D436">
        <v>1</v>
      </c>
      <c r="E436">
        <v>1</v>
      </c>
      <c r="F436">
        <v>64</v>
      </c>
      <c r="G436">
        <v>162</v>
      </c>
      <c r="H436">
        <f t="shared" si="32"/>
        <v>24.386526444139609</v>
      </c>
      <c r="I436">
        <v>91</v>
      </c>
      <c r="J436">
        <v>105</v>
      </c>
      <c r="K436">
        <v>5.7</v>
      </c>
      <c r="L436">
        <v>0</v>
      </c>
      <c r="M436">
        <v>0</v>
      </c>
      <c r="N436">
        <v>0</v>
      </c>
      <c r="O436">
        <v>281</v>
      </c>
      <c r="P436">
        <v>0</v>
      </c>
      <c r="Q436">
        <v>33</v>
      </c>
      <c r="R436">
        <v>25</v>
      </c>
      <c r="S436">
        <v>275</v>
      </c>
      <c r="T436">
        <v>10.3</v>
      </c>
      <c r="U436">
        <v>5.5</v>
      </c>
      <c r="V436">
        <v>0</v>
      </c>
      <c r="W436">
        <f t="shared" si="48"/>
        <v>873.52427334275046</v>
      </c>
      <c r="X436">
        <f t="shared" si="45"/>
        <v>53.79846761849052</v>
      </c>
    </row>
    <row r="437" spans="1:24" x14ac:dyDescent="0.2">
      <c r="A437" t="s">
        <v>885</v>
      </c>
      <c r="B437" t="s">
        <v>886</v>
      </c>
      <c r="C437">
        <v>1978</v>
      </c>
      <c r="D437">
        <v>1</v>
      </c>
      <c r="E437">
        <v>1</v>
      </c>
      <c r="F437">
        <v>70</v>
      </c>
      <c r="G437">
        <v>164</v>
      </c>
      <c r="H437">
        <f t="shared" si="32"/>
        <v>26.026174895895306</v>
      </c>
      <c r="I437">
        <v>89</v>
      </c>
      <c r="J437">
        <v>97</v>
      </c>
      <c r="K437">
        <v>5.9</v>
      </c>
      <c r="L437">
        <v>0</v>
      </c>
      <c r="M437">
        <v>0</v>
      </c>
      <c r="N437">
        <v>0</v>
      </c>
      <c r="O437">
        <v>181</v>
      </c>
      <c r="P437">
        <v>0</v>
      </c>
      <c r="Q437">
        <v>32</v>
      </c>
      <c r="R437">
        <v>78</v>
      </c>
      <c r="S437">
        <v>321</v>
      </c>
      <c r="T437">
        <v>4.7</v>
      </c>
      <c r="U437">
        <v>6.8</v>
      </c>
      <c r="V437">
        <v>0</v>
      </c>
      <c r="W437">
        <f t="shared" si="48"/>
        <v>808.12541379962443</v>
      </c>
      <c r="X437">
        <f t="shared" si="45"/>
        <v>66.193359910281828</v>
      </c>
    </row>
    <row r="438" spans="1:24" x14ac:dyDescent="0.2">
      <c r="A438" t="s">
        <v>887</v>
      </c>
      <c r="B438" t="s">
        <v>888</v>
      </c>
      <c r="C438">
        <v>1987</v>
      </c>
      <c r="D438">
        <v>1</v>
      </c>
      <c r="E438">
        <v>1</v>
      </c>
      <c r="F438">
        <v>85</v>
      </c>
      <c r="G438">
        <v>170</v>
      </c>
      <c r="H438">
        <f t="shared" si="32"/>
        <v>29.411764705882355</v>
      </c>
      <c r="I438">
        <v>102</v>
      </c>
      <c r="J438">
        <v>128</v>
      </c>
      <c r="K438">
        <v>5.6</v>
      </c>
      <c r="L438">
        <v>0</v>
      </c>
      <c r="M438">
        <v>0</v>
      </c>
      <c r="N438">
        <v>0</v>
      </c>
      <c r="O438">
        <v>368</v>
      </c>
      <c r="P438">
        <v>0</v>
      </c>
      <c r="Q438">
        <v>51</v>
      </c>
      <c r="R438">
        <v>315</v>
      </c>
      <c r="S438">
        <v>265</v>
      </c>
      <c r="T438">
        <v>5.8</v>
      </c>
      <c r="U438">
        <v>5.0999999999999996</v>
      </c>
      <c r="V438">
        <v>0</v>
      </c>
      <c r="W438">
        <f t="shared" si="48"/>
        <v>1026.8305341959176</v>
      </c>
      <c r="X438">
        <f t="shared" si="45"/>
        <v>97.097055514504589</v>
      </c>
    </row>
    <row r="439" spans="1:24" hidden="1" x14ac:dyDescent="0.2">
      <c r="A439" t="s">
        <v>889</v>
      </c>
      <c r="B439" t="s">
        <v>890</v>
      </c>
      <c r="C439">
        <v>1983</v>
      </c>
      <c r="D439">
        <v>1</v>
      </c>
      <c r="E439">
        <v>1</v>
      </c>
      <c r="F439">
        <v>68</v>
      </c>
      <c r="G439">
        <v>168</v>
      </c>
      <c r="H439">
        <f t="shared" si="32"/>
        <v>24.092970521541954</v>
      </c>
      <c r="I439">
        <v>91</v>
      </c>
      <c r="J439">
        <v>101</v>
      </c>
      <c r="K439">
        <v>5.7</v>
      </c>
      <c r="L439">
        <v>0</v>
      </c>
      <c r="M439">
        <v>0</v>
      </c>
      <c r="N439">
        <v>1</v>
      </c>
      <c r="O439">
        <v>373</v>
      </c>
      <c r="P439">
        <v>1</v>
      </c>
      <c r="Q439">
        <v>46</v>
      </c>
      <c r="R439">
        <v>101</v>
      </c>
      <c r="S439">
        <v>263</v>
      </c>
      <c r="T439">
        <v>5.8</v>
      </c>
      <c r="U439">
        <v>5.0999999999999996</v>
      </c>
      <c r="V439">
        <v>1</v>
      </c>
      <c r="W439">
        <f t="shared" si="48"/>
        <v>895.76320978918682</v>
      </c>
      <c r="X439">
        <f t="shared" si="45"/>
        <v>79.960760072319587</v>
      </c>
    </row>
    <row r="440" spans="1:24" x14ac:dyDescent="0.2">
      <c r="A440" t="s">
        <v>891</v>
      </c>
      <c r="B440" t="s">
        <v>892</v>
      </c>
      <c r="C440">
        <v>1988</v>
      </c>
      <c r="D440">
        <v>0</v>
      </c>
      <c r="E440">
        <v>1</v>
      </c>
      <c r="F440">
        <v>68</v>
      </c>
      <c r="G440">
        <v>160</v>
      </c>
      <c r="H440">
        <f t="shared" si="32"/>
        <v>26.562499999999996</v>
      </c>
      <c r="I440">
        <v>85</v>
      </c>
      <c r="J440">
        <v>222</v>
      </c>
      <c r="K440">
        <v>9.59</v>
      </c>
      <c r="L440">
        <v>0</v>
      </c>
      <c r="M440">
        <v>0</v>
      </c>
      <c r="N440">
        <v>0</v>
      </c>
      <c r="O440">
        <v>355</v>
      </c>
      <c r="P440">
        <v>0</v>
      </c>
      <c r="Q440">
        <v>42</v>
      </c>
      <c r="R440">
        <v>24</v>
      </c>
      <c r="S440">
        <v>323</v>
      </c>
      <c r="T440">
        <v>7.3</v>
      </c>
      <c r="U440">
        <v>6.8</v>
      </c>
      <c r="V440">
        <v>0</v>
      </c>
      <c r="W440">
        <f t="shared" si="48"/>
        <v>899.44007921695879</v>
      </c>
      <c r="X440">
        <f>100*EXP(0.953*LN(O440)+0.139*H440+0.718*LN(R440)+0.053*I440-15.745)/(1+EXP(0.953*LN(O440)+0.139*H440+0.718*LN(R440)+0.053*I440-15.745))</f>
        <v>58.179791836882387</v>
      </c>
    </row>
    <row r="441" spans="1:24" x14ac:dyDescent="0.2">
      <c r="A441" t="s">
        <v>918</v>
      </c>
      <c r="B441" t="s">
        <v>893</v>
      </c>
      <c r="C441">
        <v>1991</v>
      </c>
      <c r="D441">
        <v>1</v>
      </c>
      <c r="E441">
        <v>1</v>
      </c>
      <c r="F441">
        <v>72</v>
      </c>
      <c r="G441">
        <v>170</v>
      </c>
      <c r="H441">
        <f t="shared" si="32"/>
        <v>24.913494809688583</v>
      </c>
      <c r="I441">
        <v>90</v>
      </c>
      <c r="J441">
        <v>103</v>
      </c>
      <c r="K441">
        <v>6.16</v>
      </c>
      <c r="L441">
        <v>0</v>
      </c>
      <c r="M441">
        <v>0</v>
      </c>
      <c r="N441">
        <v>0</v>
      </c>
      <c r="O441">
        <v>166</v>
      </c>
      <c r="P441">
        <v>0</v>
      </c>
      <c r="Q441">
        <v>44</v>
      </c>
      <c r="R441">
        <v>41</v>
      </c>
      <c r="S441">
        <v>223</v>
      </c>
      <c r="T441">
        <v>5.5</v>
      </c>
      <c r="U441">
        <v>4.4000000000000004</v>
      </c>
      <c r="V441">
        <v>0</v>
      </c>
      <c r="W441">
        <f t="shared" si="48"/>
        <v>814.82126364236103</v>
      </c>
      <c r="X441">
        <f t="shared" ref="X441:X504" si="49">100*EXP(0.953*LN(O441)+0.139*H441+0.718*LN(R441)+0.053*I441-15.745)/(1+EXP(0.953*LN(O441)+0.139*H441+0.718*LN(R441)+0.053*I441-15.745))</f>
        <v>50.6510853144691</v>
      </c>
    </row>
    <row r="442" spans="1:24" x14ac:dyDescent="0.2">
      <c r="A442" t="s">
        <v>894</v>
      </c>
      <c r="B442" t="s">
        <v>895</v>
      </c>
      <c r="C442">
        <v>1981</v>
      </c>
      <c r="D442">
        <v>1</v>
      </c>
      <c r="E442">
        <v>1</v>
      </c>
      <c r="F442">
        <v>66</v>
      </c>
      <c r="G442">
        <v>162</v>
      </c>
      <c r="H442">
        <f t="shared" si="32"/>
        <v>25.14860539551897</v>
      </c>
      <c r="I442">
        <v>91</v>
      </c>
      <c r="J442">
        <v>94</v>
      </c>
      <c r="K442">
        <v>5.5</v>
      </c>
      <c r="L442">
        <v>0</v>
      </c>
      <c r="M442">
        <v>0</v>
      </c>
      <c r="N442">
        <v>0</v>
      </c>
      <c r="O442">
        <v>105</v>
      </c>
      <c r="P442">
        <v>0</v>
      </c>
      <c r="Q442">
        <v>42</v>
      </c>
      <c r="R442">
        <v>156</v>
      </c>
      <c r="S442">
        <v>279</v>
      </c>
      <c r="T442">
        <v>5.5</v>
      </c>
      <c r="U442">
        <v>5.5</v>
      </c>
      <c r="V442">
        <v>0</v>
      </c>
      <c r="W442">
        <f t="shared" si="48"/>
        <v>773.87382361994992</v>
      </c>
      <c r="X442">
        <f t="shared" si="49"/>
        <v>65.354919477908012</v>
      </c>
    </row>
    <row r="443" spans="1:24" hidden="1" x14ac:dyDescent="0.2">
      <c r="A443" t="s">
        <v>896</v>
      </c>
      <c r="B443" t="s">
        <v>897</v>
      </c>
      <c r="C443">
        <v>1988</v>
      </c>
      <c r="D443">
        <v>1</v>
      </c>
      <c r="E443">
        <v>1</v>
      </c>
      <c r="F443">
        <v>73</v>
      </c>
      <c r="G443">
        <v>169</v>
      </c>
      <c r="H443">
        <f t="shared" si="32"/>
        <v>25.559329155141629</v>
      </c>
      <c r="I443">
        <v>91</v>
      </c>
      <c r="J443">
        <v>90</v>
      </c>
      <c r="K443">
        <v>5.0999999999999996</v>
      </c>
      <c r="L443">
        <v>0</v>
      </c>
      <c r="M443">
        <v>0</v>
      </c>
      <c r="N443">
        <v>0</v>
      </c>
      <c r="O443">
        <v>235</v>
      </c>
      <c r="P443">
        <v>0</v>
      </c>
      <c r="Q443">
        <v>54</v>
      </c>
      <c r="R443">
        <v>163</v>
      </c>
      <c r="S443">
        <v>315</v>
      </c>
      <c r="T443">
        <v>8</v>
      </c>
      <c r="U443">
        <v>6.5</v>
      </c>
      <c r="V443">
        <v>1</v>
      </c>
      <c r="W443">
        <f t="shared" si="48"/>
        <v>843.22856835621758</v>
      </c>
      <c r="X443">
        <f t="shared" si="49"/>
        <v>81.623497831645054</v>
      </c>
    </row>
    <row r="444" spans="1:24" x14ac:dyDescent="0.2">
      <c r="A444" t="s">
        <v>898</v>
      </c>
      <c r="B444" t="s">
        <v>899</v>
      </c>
      <c r="C444">
        <v>1998</v>
      </c>
      <c r="D444">
        <v>1</v>
      </c>
      <c r="E444">
        <v>1</v>
      </c>
      <c r="F444">
        <v>82</v>
      </c>
      <c r="G444">
        <v>180</v>
      </c>
      <c r="H444">
        <f t="shared" si="32"/>
        <v>25.308641975308639</v>
      </c>
      <c r="I444">
        <v>96</v>
      </c>
      <c r="J444">
        <v>90</v>
      </c>
      <c r="K444">
        <v>5.24</v>
      </c>
      <c r="L444">
        <v>0</v>
      </c>
      <c r="M444">
        <v>0</v>
      </c>
      <c r="N444">
        <v>0</v>
      </c>
      <c r="O444">
        <v>181</v>
      </c>
      <c r="P444">
        <v>0</v>
      </c>
      <c r="Q444">
        <v>44</v>
      </c>
      <c r="R444">
        <v>39</v>
      </c>
      <c r="S444">
        <v>228</v>
      </c>
      <c r="T444">
        <v>5.8</v>
      </c>
      <c r="U444">
        <v>4.5999999999999996</v>
      </c>
      <c r="V444">
        <v>0</v>
      </c>
      <c r="W444">
        <f t="shared" si="48"/>
        <v>864.4953140194699</v>
      </c>
      <c r="X444">
        <f t="shared" si="49"/>
        <v>60.95702552659143</v>
      </c>
    </row>
    <row r="445" spans="1:24" x14ac:dyDescent="0.2">
      <c r="A445" t="s">
        <v>900</v>
      </c>
      <c r="B445" t="s">
        <v>901</v>
      </c>
      <c r="C445">
        <v>1980</v>
      </c>
      <c r="D445">
        <v>1</v>
      </c>
      <c r="E445">
        <v>1</v>
      </c>
      <c r="F445">
        <v>88</v>
      </c>
      <c r="G445">
        <v>167</v>
      </c>
      <c r="H445">
        <f t="shared" si="32"/>
        <v>31.553659148768332</v>
      </c>
      <c r="I445">
        <v>100</v>
      </c>
      <c r="J445">
        <v>141</v>
      </c>
      <c r="K445">
        <v>5.47</v>
      </c>
      <c r="L445">
        <v>0</v>
      </c>
      <c r="M445">
        <v>0</v>
      </c>
      <c r="N445">
        <v>0</v>
      </c>
      <c r="O445">
        <v>253</v>
      </c>
      <c r="P445">
        <v>0</v>
      </c>
      <c r="Q445">
        <v>43</v>
      </c>
      <c r="R445">
        <v>76</v>
      </c>
      <c r="S445">
        <v>273</v>
      </c>
      <c r="T445">
        <v>9.3000000000000007</v>
      </c>
      <c r="U445">
        <v>5.2</v>
      </c>
      <c r="V445">
        <v>0</v>
      </c>
      <c r="W445">
        <f>LN(O445*J445/2)*I445</f>
        <v>978.90021985457429</v>
      </c>
      <c r="X445">
        <f t="shared" si="49"/>
        <v>91.082461758571981</v>
      </c>
    </row>
    <row r="446" spans="1:24" x14ac:dyDescent="0.2">
      <c r="A446" t="s">
        <v>904</v>
      </c>
      <c r="B446" t="s">
        <v>905</v>
      </c>
      <c r="C446">
        <v>2004</v>
      </c>
      <c r="D446">
        <v>1</v>
      </c>
      <c r="E446">
        <v>1</v>
      </c>
      <c r="F446">
        <v>83</v>
      </c>
      <c r="G446">
        <v>184</v>
      </c>
      <c r="H446">
        <f t="shared" si="32"/>
        <v>24.515595463137995</v>
      </c>
      <c r="I446">
        <v>87</v>
      </c>
      <c r="J446">
        <v>88</v>
      </c>
      <c r="K446">
        <v>5.21</v>
      </c>
      <c r="L446">
        <v>0</v>
      </c>
      <c r="M446">
        <v>0</v>
      </c>
      <c r="N446">
        <v>0</v>
      </c>
      <c r="O446">
        <v>303</v>
      </c>
      <c r="P446">
        <v>0</v>
      </c>
      <c r="Q446">
        <v>51</v>
      </c>
      <c r="R446">
        <v>45</v>
      </c>
      <c r="S446">
        <v>290</v>
      </c>
      <c r="T446">
        <v>6</v>
      </c>
      <c r="U446">
        <v>5.7</v>
      </c>
      <c r="V446">
        <v>0</v>
      </c>
      <c r="W446">
        <f>LN(O446*J446/2)*I446</f>
        <v>826.31925223020392</v>
      </c>
      <c r="X446">
        <f t="shared" si="49"/>
        <v>61.112386759143298</v>
      </c>
    </row>
    <row r="447" spans="1:24" x14ac:dyDescent="0.2">
      <c r="A447" t="s">
        <v>906</v>
      </c>
      <c r="B447" t="s">
        <v>907</v>
      </c>
      <c r="C447">
        <v>1996</v>
      </c>
      <c r="D447">
        <v>1</v>
      </c>
      <c r="E447">
        <v>1</v>
      </c>
      <c r="F447">
        <v>76</v>
      </c>
      <c r="G447">
        <v>163</v>
      </c>
      <c r="H447">
        <f t="shared" si="32"/>
        <v>28.604764951635367</v>
      </c>
      <c r="I447">
        <v>87</v>
      </c>
      <c r="J447">
        <v>86</v>
      </c>
      <c r="K447">
        <v>4.9800000000000004</v>
      </c>
      <c r="L447">
        <v>0</v>
      </c>
      <c r="M447">
        <v>0</v>
      </c>
      <c r="N447">
        <v>0</v>
      </c>
      <c r="O447">
        <v>182</v>
      </c>
      <c r="P447">
        <v>0</v>
      </c>
      <c r="Q447">
        <v>47</v>
      </c>
      <c r="R447">
        <v>84</v>
      </c>
      <c r="S447">
        <v>304</v>
      </c>
      <c r="T447">
        <v>6.2</v>
      </c>
      <c r="U447">
        <v>6.1</v>
      </c>
      <c r="V447">
        <v>0</v>
      </c>
      <c r="W447">
        <f>LN(O447*J447/2)*I447</f>
        <v>779.9729918410211</v>
      </c>
      <c r="X447">
        <f t="shared" si="49"/>
        <v>72.766486352163014</v>
      </c>
    </row>
    <row r="448" spans="1:24" hidden="1" x14ac:dyDescent="0.2">
      <c r="A448" t="s">
        <v>908</v>
      </c>
      <c r="B448" t="s">
        <v>909</v>
      </c>
      <c r="C448">
        <v>1978</v>
      </c>
      <c r="D448">
        <v>1</v>
      </c>
      <c r="E448">
        <v>1</v>
      </c>
      <c r="F448">
        <v>67</v>
      </c>
      <c r="G448">
        <v>167</v>
      </c>
      <c r="H448">
        <f t="shared" si="32"/>
        <v>24.023808670084982</v>
      </c>
      <c r="I448">
        <v>89</v>
      </c>
      <c r="J448">
        <v>88</v>
      </c>
      <c r="K448">
        <v>5.3</v>
      </c>
      <c r="L448">
        <v>0</v>
      </c>
      <c r="M448">
        <v>0</v>
      </c>
      <c r="N448">
        <v>0</v>
      </c>
      <c r="O448">
        <v>164</v>
      </c>
      <c r="P448">
        <v>0</v>
      </c>
      <c r="Q448">
        <v>64</v>
      </c>
      <c r="R448">
        <v>87</v>
      </c>
      <c r="S448">
        <v>256</v>
      </c>
      <c r="T448">
        <v>6.8</v>
      </c>
      <c r="U448">
        <v>4.5999999999999996</v>
      </c>
      <c r="V448">
        <v>1</v>
      </c>
      <c r="W448">
        <f t="shared" ref="W448:W511" si="50">LN(O448*J448/2)*I448</f>
        <v>790.68098949507885</v>
      </c>
      <c r="X448">
        <f t="shared" si="49"/>
        <v>59.339163573661985</v>
      </c>
    </row>
    <row r="449" spans="1:24" hidden="1" x14ac:dyDescent="0.2">
      <c r="A449" t="s">
        <v>902</v>
      </c>
      <c r="B449" t="s">
        <v>903</v>
      </c>
      <c r="C449">
        <v>1995</v>
      </c>
      <c r="D449">
        <v>1</v>
      </c>
      <c r="E449">
        <v>1</v>
      </c>
      <c r="F449">
        <v>84</v>
      </c>
      <c r="G449">
        <v>182</v>
      </c>
      <c r="H449">
        <f t="shared" si="32"/>
        <v>25.359256128486894</v>
      </c>
      <c r="I449">
        <v>94</v>
      </c>
      <c r="J449">
        <v>86</v>
      </c>
      <c r="K449">
        <v>5.2</v>
      </c>
      <c r="L449">
        <v>0</v>
      </c>
      <c r="M449">
        <v>0</v>
      </c>
      <c r="N449">
        <v>0</v>
      </c>
      <c r="O449">
        <v>140</v>
      </c>
      <c r="P449">
        <v>0</v>
      </c>
      <c r="Q449">
        <v>47</v>
      </c>
      <c r="R449">
        <v>86</v>
      </c>
      <c r="S449">
        <v>301</v>
      </c>
      <c r="T449">
        <v>7.3</v>
      </c>
      <c r="U449">
        <v>6.1</v>
      </c>
      <c r="V449">
        <v>1</v>
      </c>
      <c r="W449">
        <f t="shared" si="50"/>
        <v>818.06719860046951</v>
      </c>
      <c r="X449">
        <f t="shared" si="49"/>
        <v>66.140086410345873</v>
      </c>
    </row>
    <row r="450" spans="1:24" x14ac:dyDescent="0.2">
      <c r="A450" t="s">
        <v>879</v>
      </c>
      <c r="B450" t="s">
        <v>880</v>
      </c>
      <c r="C450">
        <v>1988</v>
      </c>
      <c r="D450">
        <v>1</v>
      </c>
      <c r="E450">
        <v>1</v>
      </c>
      <c r="F450">
        <v>81</v>
      </c>
      <c r="G450">
        <v>175</v>
      </c>
      <c r="H450">
        <f t="shared" si="32"/>
        <v>26.448979591836736</v>
      </c>
      <c r="I450">
        <v>101</v>
      </c>
      <c r="J450">
        <v>94</v>
      </c>
      <c r="K450">
        <v>5.7</v>
      </c>
      <c r="L450">
        <v>0</v>
      </c>
      <c r="M450">
        <v>0</v>
      </c>
      <c r="N450">
        <v>0</v>
      </c>
      <c r="O450">
        <v>306</v>
      </c>
      <c r="P450">
        <v>0</v>
      </c>
      <c r="Q450">
        <v>46</v>
      </c>
      <c r="R450">
        <v>143</v>
      </c>
      <c r="S450">
        <v>252</v>
      </c>
      <c r="T450">
        <v>4.7</v>
      </c>
      <c r="U450">
        <v>4.9000000000000004</v>
      </c>
      <c r="V450">
        <v>0</v>
      </c>
      <c r="W450">
        <f t="shared" si="50"/>
        <v>966.94700306990649</v>
      </c>
      <c r="X450">
        <f t="shared" si="49"/>
        <v>90.906794093943006</v>
      </c>
    </row>
    <row r="451" spans="1:24" x14ac:dyDescent="0.2">
      <c r="A451" t="s">
        <v>910</v>
      </c>
      <c r="B451" t="s">
        <v>911</v>
      </c>
      <c r="C451">
        <v>1986</v>
      </c>
      <c r="D451">
        <v>0</v>
      </c>
      <c r="E451">
        <v>1</v>
      </c>
      <c r="F451">
        <v>55</v>
      </c>
      <c r="G451">
        <v>155</v>
      </c>
      <c r="H451">
        <f t="shared" si="32"/>
        <v>22.892819979188342</v>
      </c>
      <c r="I451">
        <v>82</v>
      </c>
      <c r="J451">
        <v>79</v>
      </c>
      <c r="K451">
        <v>5.03</v>
      </c>
      <c r="L451">
        <v>0</v>
      </c>
      <c r="M451">
        <v>0</v>
      </c>
      <c r="N451">
        <v>0</v>
      </c>
      <c r="O451">
        <v>457</v>
      </c>
      <c r="P451">
        <v>0</v>
      </c>
      <c r="Q451">
        <v>51</v>
      </c>
      <c r="R451">
        <v>49</v>
      </c>
      <c r="S451">
        <v>312</v>
      </c>
      <c r="T451">
        <v>7.5</v>
      </c>
      <c r="U451">
        <v>6.3</v>
      </c>
      <c r="V451">
        <v>0</v>
      </c>
      <c r="W451">
        <f t="shared" si="50"/>
        <v>803.68069314970501</v>
      </c>
      <c r="X451">
        <f t="shared" si="49"/>
        <v>60.210704245552598</v>
      </c>
    </row>
    <row r="452" spans="1:24" x14ac:dyDescent="0.2">
      <c r="A452" t="s">
        <v>912</v>
      </c>
      <c r="B452" t="s">
        <v>913</v>
      </c>
      <c r="C452">
        <v>1979</v>
      </c>
      <c r="D452">
        <v>1</v>
      </c>
      <c r="E452">
        <v>1</v>
      </c>
      <c r="F452">
        <v>57</v>
      </c>
      <c r="G452">
        <v>162</v>
      </c>
      <c r="H452">
        <f t="shared" si="32"/>
        <v>21.719250114311837</v>
      </c>
      <c r="I452">
        <v>83</v>
      </c>
      <c r="J452">
        <v>97</v>
      </c>
      <c r="K452">
        <v>5.25</v>
      </c>
      <c r="L452">
        <v>0</v>
      </c>
      <c r="M452">
        <v>0</v>
      </c>
      <c r="N452">
        <v>0</v>
      </c>
      <c r="O452">
        <v>145</v>
      </c>
      <c r="P452">
        <v>0</v>
      </c>
      <c r="Q452">
        <v>55</v>
      </c>
      <c r="R452">
        <v>50</v>
      </c>
      <c r="S452">
        <v>194</v>
      </c>
      <c r="T452">
        <v>6.1</v>
      </c>
      <c r="U452">
        <v>3.9</v>
      </c>
      <c r="V452">
        <v>0</v>
      </c>
      <c r="W452">
        <f t="shared" si="50"/>
        <v>735.23869585021293</v>
      </c>
      <c r="X452">
        <f t="shared" si="49"/>
        <v>31.531981000298714</v>
      </c>
    </row>
    <row r="453" spans="1:24" x14ac:dyDescent="0.2">
      <c r="A453" t="s">
        <v>916</v>
      </c>
      <c r="B453" t="s">
        <v>917</v>
      </c>
      <c r="C453">
        <v>1991</v>
      </c>
      <c r="D453">
        <v>0</v>
      </c>
      <c r="E453">
        <v>1</v>
      </c>
      <c r="F453">
        <v>57</v>
      </c>
      <c r="G453">
        <v>152</v>
      </c>
      <c r="H453">
        <f t="shared" si="32"/>
        <v>24.671052631578949</v>
      </c>
      <c r="I453">
        <v>80</v>
      </c>
      <c r="J453">
        <v>79</v>
      </c>
      <c r="K453">
        <v>6.13</v>
      </c>
      <c r="L453">
        <v>0</v>
      </c>
      <c r="M453">
        <v>0</v>
      </c>
      <c r="N453">
        <v>0</v>
      </c>
      <c r="O453">
        <v>98</v>
      </c>
      <c r="P453">
        <v>0</v>
      </c>
      <c r="Q453">
        <v>54</v>
      </c>
      <c r="R453">
        <v>31</v>
      </c>
      <c r="S453">
        <v>211</v>
      </c>
      <c r="T453">
        <v>5.0999999999999996</v>
      </c>
      <c r="U453">
        <v>4.3</v>
      </c>
      <c r="V453">
        <v>0</v>
      </c>
      <c r="W453">
        <f t="shared" si="50"/>
        <v>660.90145204621183</v>
      </c>
      <c r="X453">
        <f t="shared" si="49"/>
        <v>22.432340972207651</v>
      </c>
    </row>
    <row r="454" spans="1:24" hidden="1" x14ac:dyDescent="0.2">
      <c r="A454" t="s">
        <v>919</v>
      </c>
      <c r="B454" t="s">
        <v>920</v>
      </c>
      <c r="C454">
        <v>1996</v>
      </c>
      <c r="D454">
        <v>1</v>
      </c>
      <c r="E454">
        <v>1</v>
      </c>
      <c r="F454">
        <v>82</v>
      </c>
      <c r="G454">
        <v>169</v>
      </c>
      <c r="H454">
        <f t="shared" si="32"/>
        <v>28.71047932495361</v>
      </c>
      <c r="I454">
        <v>91</v>
      </c>
      <c r="J454">
        <v>96</v>
      </c>
      <c r="K454">
        <v>5.43</v>
      </c>
      <c r="L454">
        <v>0</v>
      </c>
      <c r="M454">
        <v>0</v>
      </c>
      <c r="N454">
        <v>0</v>
      </c>
      <c r="O454">
        <v>164</v>
      </c>
      <c r="P454">
        <v>0</v>
      </c>
      <c r="Q454">
        <v>43</v>
      </c>
      <c r="R454">
        <v>143</v>
      </c>
      <c r="S454">
        <v>252</v>
      </c>
      <c r="T454">
        <v>9.1</v>
      </c>
      <c r="U454">
        <v>5</v>
      </c>
      <c r="V454">
        <v>1</v>
      </c>
      <c r="W454">
        <f t="shared" si="50"/>
        <v>816.36713692462001</v>
      </c>
      <c r="X454">
        <f t="shared" si="49"/>
        <v>81.641601136865916</v>
      </c>
    </row>
    <row r="455" spans="1:24" x14ac:dyDescent="0.2">
      <c r="A455" t="s">
        <v>922</v>
      </c>
      <c r="B455" t="s">
        <v>923</v>
      </c>
      <c r="C455">
        <v>1999</v>
      </c>
      <c r="D455">
        <v>1</v>
      </c>
      <c r="E455">
        <v>1</v>
      </c>
      <c r="F455">
        <v>66</v>
      </c>
      <c r="G455">
        <v>165</v>
      </c>
      <c r="H455">
        <f t="shared" si="32"/>
        <v>24.242424242424246</v>
      </c>
      <c r="I455">
        <v>84</v>
      </c>
      <c r="J455">
        <v>88</v>
      </c>
      <c r="K455">
        <v>4.9000000000000004</v>
      </c>
      <c r="L455">
        <v>0</v>
      </c>
      <c r="M455">
        <v>0</v>
      </c>
      <c r="N455">
        <v>0</v>
      </c>
      <c r="O455">
        <v>99</v>
      </c>
      <c r="P455">
        <v>0</v>
      </c>
      <c r="Q455">
        <v>42</v>
      </c>
      <c r="R455">
        <v>43</v>
      </c>
      <c r="S455">
        <v>245</v>
      </c>
      <c r="T455">
        <v>7.2</v>
      </c>
      <c r="U455">
        <v>4.8</v>
      </c>
      <c r="V455">
        <v>0</v>
      </c>
      <c r="W455">
        <f t="shared" si="50"/>
        <v>703.86199666043944</v>
      </c>
      <c r="X455">
        <f t="shared" si="49"/>
        <v>30.077457346631487</v>
      </c>
    </row>
    <row r="456" spans="1:24" x14ac:dyDescent="0.2">
      <c r="A456" t="s">
        <v>926</v>
      </c>
      <c r="B456" t="s">
        <v>927</v>
      </c>
      <c r="C456">
        <v>1979</v>
      </c>
      <c r="D456">
        <v>1</v>
      </c>
      <c r="E456">
        <v>1</v>
      </c>
      <c r="F456">
        <v>75</v>
      </c>
      <c r="G456">
        <v>164</v>
      </c>
      <c r="H456">
        <f t="shared" si="32"/>
        <v>27.885187388459254</v>
      </c>
      <c r="I456">
        <v>94</v>
      </c>
      <c r="J456">
        <v>105</v>
      </c>
      <c r="K456">
        <v>6.2</v>
      </c>
      <c r="L456">
        <v>0</v>
      </c>
      <c r="M456">
        <v>0</v>
      </c>
      <c r="N456">
        <v>0</v>
      </c>
      <c r="O456">
        <v>157</v>
      </c>
      <c r="P456">
        <v>1</v>
      </c>
      <c r="Q456">
        <v>44</v>
      </c>
      <c r="R456">
        <v>31</v>
      </c>
      <c r="S456">
        <v>308</v>
      </c>
      <c r="T456">
        <v>6.4</v>
      </c>
      <c r="U456">
        <v>6.2</v>
      </c>
      <c r="V456">
        <v>0</v>
      </c>
      <c r="W456">
        <f t="shared" si="50"/>
        <v>847.60354364491332</v>
      </c>
      <c r="X456">
        <f t="shared" si="49"/>
        <v>59.802582955255971</v>
      </c>
    </row>
    <row r="457" spans="1:24" x14ac:dyDescent="0.2">
      <c r="A457" t="s">
        <v>928</v>
      </c>
      <c r="B457" t="s">
        <v>929</v>
      </c>
      <c r="C457">
        <v>1968</v>
      </c>
      <c r="D457">
        <v>0</v>
      </c>
      <c r="E457">
        <v>1</v>
      </c>
      <c r="F457">
        <v>70</v>
      </c>
      <c r="G457">
        <v>163</v>
      </c>
      <c r="H457">
        <f t="shared" si="32"/>
        <v>26.346494034400994</v>
      </c>
      <c r="I457">
        <v>95</v>
      </c>
      <c r="J457">
        <v>121</v>
      </c>
      <c r="K457">
        <v>6.99</v>
      </c>
      <c r="L457">
        <v>0</v>
      </c>
      <c r="M457">
        <v>0</v>
      </c>
      <c r="N457">
        <v>0</v>
      </c>
      <c r="O457">
        <v>427</v>
      </c>
      <c r="P457">
        <v>0</v>
      </c>
      <c r="Q457">
        <v>46</v>
      </c>
      <c r="R457">
        <v>106</v>
      </c>
      <c r="S457">
        <v>251</v>
      </c>
      <c r="T457">
        <v>6.2</v>
      </c>
      <c r="U457">
        <v>4.8</v>
      </c>
      <c r="V457">
        <v>0</v>
      </c>
      <c r="W457">
        <f t="shared" si="50"/>
        <v>965.14560093521493</v>
      </c>
      <c r="X457">
        <f t="shared" si="49"/>
        <v>88.821407240989799</v>
      </c>
    </row>
    <row r="458" spans="1:24" hidden="1" x14ac:dyDescent="0.2">
      <c r="A458" t="s">
        <v>930</v>
      </c>
      <c r="B458" t="s">
        <v>931</v>
      </c>
      <c r="C458">
        <v>1966</v>
      </c>
      <c r="D458">
        <v>1</v>
      </c>
      <c r="E458">
        <v>1</v>
      </c>
      <c r="F458">
        <v>56</v>
      </c>
      <c r="G458">
        <v>161</v>
      </c>
      <c r="H458">
        <f t="shared" si="32"/>
        <v>21.60410477990818</v>
      </c>
      <c r="I458">
        <v>82</v>
      </c>
      <c r="J458">
        <v>97</v>
      </c>
      <c r="K458">
        <v>6.84</v>
      </c>
      <c r="L458">
        <v>1</v>
      </c>
      <c r="M458">
        <v>1</v>
      </c>
      <c r="N458">
        <v>1</v>
      </c>
      <c r="O458">
        <v>182</v>
      </c>
      <c r="P458">
        <v>1</v>
      </c>
      <c r="Q458">
        <v>29</v>
      </c>
      <c r="R458">
        <v>77</v>
      </c>
      <c r="S458">
        <v>311</v>
      </c>
      <c r="T458">
        <v>12.4</v>
      </c>
      <c r="U458">
        <v>6.2</v>
      </c>
      <c r="V458">
        <v>1</v>
      </c>
      <c r="W458">
        <f t="shared" si="50"/>
        <v>745.01677977165912</v>
      </c>
      <c r="X458">
        <f t="shared" si="49"/>
        <v>42.122204969191102</v>
      </c>
    </row>
    <row r="459" spans="1:24" hidden="1" x14ac:dyDescent="0.2">
      <c r="A459" t="s">
        <v>932</v>
      </c>
      <c r="B459" t="s">
        <v>182</v>
      </c>
      <c r="C459">
        <v>1984</v>
      </c>
      <c r="D459">
        <v>1</v>
      </c>
      <c r="E459">
        <v>1</v>
      </c>
      <c r="F459">
        <v>70</v>
      </c>
      <c r="G459">
        <v>168</v>
      </c>
      <c r="H459">
        <f t="shared" si="32"/>
        <v>24.801587301587304</v>
      </c>
      <c r="I459">
        <v>93</v>
      </c>
      <c r="L459">
        <v>0</v>
      </c>
      <c r="M459">
        <v>0</v>
      </c>
      <c r="N459">
        <v>0</v>
      </c>
      <c r="P459">
        <v>0</v>
      </c>
      <c r="S459">
        <v>274</v>
      </c>
      <c r="T459">
        <v>10.1</v>
      </c>
      <c r="U459">
        <v>5.4</v>
      </c>
      <c r="V459">
        <v>1</v>
      </c>
    </row>
    <row r="460" spans="1:24" x14ac:dyDescent="0.2">
      <c r="A460" t="s">
        <v>933</v>
      </c>
      <c r="B460" t="s">
        <v>934</v>
      </c>
      <c r="C460">
        <v>1972</v>
      </c>
      <c r="D460">
        <v>1</v>
      </c>
      <c r="E460">
        <v>1</v>
      </c>
      <c r="F460">
        <v>65</v>
      </c>
      <c r="G460">
        <v>161</v>
      </c>
      <c r="H460">
        <f t="shared" si="32"/>
        <v>25.076193048107708</v>
      </c>
      <c r="I460">
        <v>93</v>
      </c>
      <c r="L460">
        <v>0</v>
      </c>
      <c r="M460">
        <v>0</v>
      </c>
      <c r="N460">
        <v>0</v>
      </c>
      <c r="P460">
        <v>0</v>
      </c>
      <c r="S460">
        <v>248</v>
      </c>
      <c r="T460">
        <v>7.8</v>
      </c>
      <c r="U460">
        <v>4.9000000000000004</v>
      </c>
      <c r="V460">
        <v>0</v>
      </c>
    </row>
    <row r="461" spans="1:24" x14ac:dyDescent="0.2">
      <c r="A461" t="s">
        <v>935</v>
      </c>
      <c r="B461" t="s">
        <v>936</v>
      </c>
      <c r="C461">
        <v>1990</v>
      </c>
      <c r="D461">
        <v>1</v>
      </c>
      <c r="E461">
        <v>1</v>
      </c>
      <c r="F461">
        <v>81</v>
      </c>
      <c r="G461">
        <v>166</v>
      </c>
      <c r="H461">
        <f t="shared" ref="H461:H492" si="51">F461/((G461/100)*(G461/100))</f>
        <v>29.3946871824648</v>
      </c>
      <c r="I461">
        <v>95</v>
      </c>
      <c r="J461">
        <v>97</v>
      </c>
      <c r="K461">
        <v>5.48</v>
      </c>
      <c r="L461">
        <v>0</v>
      </c>
      <c r="M461">
        <v>0</v>
      </c>
      <c r="N461">
        <v>0</v>
      </c>
      <c r="O461">
        <v>128</v>
      </c>
      <c r="P461">
        <v>0</v>
      </c>
      <c r="Q461">
        <v>42</v>
      </c>
      <c r="R461">
        <v>84</v>
      </c>
      <c r="S461">
        <v>248</v>
      </c>
      <c r="T461">
        <v>8.1</v>
      </c>
      <c r="V461">
        <v>0</v>
      </c>
      <c r="W461">
        <f t="shared" si="50"/>
        <v>829.69143587699023</v>
      </c>
      <c r="X461">
        <f t="shared" si="49"/>
        <v>76.515861465043827</v>
      </c>
    </row>
    <row r="462" spans="1:24" x14ac:dyDescent="0.2">
      <c r="A462" t="s">
        <v>937</v>
      </c>
      <c r="B462" t="s">
        <v>938</v>
      </c>
      <c r="C462">
        <v>1998</v>
      </c>
      <c r="D462">
        <v>1</v>
      </c>
      <c r="E462">
        <v>0</v>
      </c>
      <c r="F462">
        <v>67</v>
      </c>
      <c r="G462">
        <v>167</v>
      </c>
      <c r="H462">
        <f t="shared" si="51"/>
        <v>24.023808670084982</v>
      </c>
      <c r="I462">
        <v>77</v>
      </c>
      <c r="J462">
        <v>94</v>
      </c>
      <c r="K462">
        <v>5.18</v>
      </c>
      <c r="L462">
        <v>0</v>
      </c>
      <c r="M462">
        <v>0</v>
      </c>
      <c r="N462">
        <v>0</v>
      </c>
      <c r="O462">
        <v>96</v>
      </c>
      <c r="P462">
        <v>0</v>
      </c>
      <c r="Q462">
        <v>65</v>
      </c>
      <c r="R462">
        <v>20</v>
      </c>
      <c r="S462">
        <v>200</v>
      </c>
      <c r="T462">
        <v>5.5</v>
      </c>
      <c r="V462">
        <v>0</v>
      </c>
      <c r="W462">
        <f t="shared" si="50"/>
        <v>647.916176074698</v>
      </c>
      <c r="X462">
        <f t="shared" si="49"/>
        <v>13.89628528477893</v>
      </c>
    </row>
    <row r="463" spans="1:24" hidden="1" x14ac:dyDescent="0.2">
      <c r="A463" t="s">
        <v>939</v>
      </c>
      <c r="B463" t="s">
        <v>940</v>
      </c>
      <c r="C463">
        <v>1987</v>
      </c>
      <c r="D463">
        <v>1</v>
      </c>
      <c r="E463">
        <v>0</v>
      </c>
      <c r="F463">
        <v>72</v>
      </c>
      <c r="G463">
        <v>162</v>
      </c>
      <c r="H463">
        <f t="shared" si="51"/>
        <v>27.434842249657059</v>
      </c>
      <c r="I463">
        <v>96</v>
      </c>
      <c r="J463">
        <v>86</v>
      </c>
      <c r="K463">
        <v>6.23</v>
      </c>
      <c r="L463">
        <v>0</v>
      </c>
      <c r="M463">
        <v>0</v>
      </c>
      <c r="N463">
        <v>0</v>
      </c>
      <c r="O463">
        <v>117</v>
      </c>
      <c r="P463">
        <v>0</v>
      </c>
      <c r="Q463">
        <v>43</v>
      </c>
      <c r="R463">
        <v>36</v>
      </c>
      <c r="S463">
        <v>222</v>
      </c>
      <c r="T463">
        <v>7.6</v>
      </c>
      <c r="V463">
        <v>1</v>
      </c>
      <c r="W463">
        <f t="shared" si="50"/>
        <v>818.24390884716649</v>
      </c>
      <c r="X463">
        <f t="shared" si="49"/>
        <v>56.654325706312406</v>
      </c>
    </row>
    <row r="464" spans="1:24" x14ac:dyDescent="0.2">
      <c r="A464" t="s">
        <v>941</v>
      </c>
      <c r="B464" t="s">
        <v>942</v>
      </c>
      <c r="C464">
        <v>1996</v>
      </c>
      <c r="D464">
        <v>1</v>
      </c>
      <c r="E464">
        <v>0</v>
      </c>
      <c r="F464">
        <v>64</v>
      </c>
      <c r="G464">
        <v>166</v>
      </c>
      <c r="H464">
        <f t="shared" si="51"/>
        <v>23.225431847873423</v>
      </c>
      <c r="I464">
        <v>85</v>
      </c>
      <c r="J464">
        <v>90</v>
      </c>
      <c r="K464">
        <v>5.49</v>
      </c>
      <c r="L464">
        <v>0</v>
      </c>
      <c r="M464">
        <v>0</v>
      </c>
      <c r="N464">
        <v>0</v>
      </c>
      <c r="O464">
        <v>132</v>
      </c>
      <c r="P464">
        <v>0</v>
      </c>
      <c r="Q464">
        <v>41</v>
      </c>
      <c r="R464">
        <v>43</v>
      </c>
      <c r="S464">
        <v>231</v>
      </c>
      <c r="T464">
        <v>6.5</v>
      </c>
      <c r="V464">
        <v>0</v>
      </c>
      <c r="W464">
        <f t="shared" si="50"/>
        <v>738.60447505031868</v>
      </c>
      <c r="X464">
        <f t="shared" si="49"/>
        <v>34.123104873457713</v>
      </c>
    </row>
    <row r="465" spans="1:24" x14ac:dyDescent="0.2">
      <c r="A465" t="s">
        <v>943</v>
      </c>
      <c r="B465" t="s">
        <v>944</v>
      </c>
      <c r="C465">
        <v>1972</v>
      </c>
      <c r="D465">
        <v>1</v>
      </c>
      <c r="E465">
        <v>1</v>
      </c>
      <c r="F465">
        <v>84</v>
      </c>
      <c r="G465">
        <v>168</v>
      </c>
      <c r="H465">
        <f t="shared" si="51"/>
        <v>29.761904761904766</v>
      </c>
      <c r="I465">
        <v>97</v>
      </c>
      <c r="J465">
        <v>130</v>
      </c>
      <c r="K465">
        <v>7.2</v>
      </c>
      <c r="L465">
        <v>1</v>
      </c>
      <c r="M465">
        <v>0</v>
      </c>
      <c r="N465">
        <v>1</v>
      </c>
      <c r="O465">
        <v>137</v>
      </c>
      <c r="P465">
        <v>0</v>
      </c>
      <c r="Q465">
        <v>38</v>
      </c>
      <c r="R465">
        <v>52</v>
      </c>
      <c r="S465">
        <v>335</v>
      </c>
      <c r="T465">
        <v>7.5</v>
      </c>
      <c r="V465">
        <v>0</v>
      </c>
      <c r="W465">
        <f t="shared" si="50"/>
        <v>882.15371498520494</v>
      </c>
      <c r="X465">
        <f t="shared" si="49"/>
        <v>74.243048033366264</v>
      </c>
    </row>
    <row r="466" spans="1:24" hidden="1" x14ac:dyDescent="0.2">
      <c r="A466" t="s">
        <v>945</v>
      </c>
      <c r="B466" t="s">
        <v>946</v>
      </c>
      <c r="C466">
        <v>1982</v>
      </c>
      <c r="D466">
        <v>1</v>
      </c>
      <c r="E466">
        <v>1</v>
      </c>
      <c r="F466">
        <v>72</v>
      </c>
      <c r="G466">
        <v>169</v>
      </c>
      <c r="H466">
        <f t="shared" si="51"/>
        <v>25.209201358495854</v>
      </c>
      <c r="I466">
        <v>84</v>
      </c>
      <c r="J466">
        <v>117</v>
      </c>
      <c r="K466">
        <v>5.7</v>
      </c>
      <c r="L466">
        <v>0</v>
      </c>
      <c r="M466">
        <v>0</v>
      </c>
      <c r="N466">
        <v>1</v>
      </c>
      <c r="O466">
        <v>224</v>
      </c>
      <c r="P466">
        <v>0</v>
      </c>
      <c r="Q466">
        <v>51</v>
      </c>
      <c r="R466">
        <v>99</v>
      </c>
      <c r="S466">
        <v>246</v>
      </c>
      <c r="T466">
        <v>5.2</v>
      </c>
      <c r="V466">
        <v>1</v>
      </c>
      <c r="W466">
        <f t="shared" si="50"/>
        <v>796.37651571179947</v>
      </c>
      <c r="X466">
        <f t="shared" si="49"/>
        <v>66.098207259180597</v>
      </c>
    </row>
    <row r="467" spans="1:24" x14ac:dyDescent="0.2">
      <c r="A467" t="s">
        <v>947</v>
      </c>
      <c r="B467" t="s">
        <v>948</v>
      </c>
      <c r="C467">
        <v>1999</v>
      </c>
      <c r="D467">
        <v>1</v>
      </c>
      <c r="E467">
        <v>1</v>
      </c>
      <c r="F467">
        <v>72</v>
      </c>
      <c r="G467">
        <v>169</v>
      </c>
      <c r="H467">
        <f t="shared" si="51"/>
        <v>25.209201358495854</v>
      </c>
      <c r="I467">
        <v>93</v>
      </c>
      <c r="J467">
        <v>108</v>
      </c>
      <c r="K467">
        <v>7.6</v>
      </c>
      <c r="L467">
        <v>0</v>
      </c>
      <c r="M467">
        <v>0</v>
      </c>
      <c r="N467">
        <v>0</v>
      </c>
      <c r="O467">
        <v>128</v>
      </c>
      <c r="P467">
        <v>0</v>
      </c>
      <c r="Q467">
        <v>45</v>
      </c>
      <c r="R467">
        <v>40</v>
      </c>
      <c r="S467">
        <v>322</v>
      </c>
      <c r="T467">
        <v>6.8</v>
      </c>
      <c r="V467">
        <v>0</v>
      </c>
      <c r="W467">
        <f t="shared" si="50"/>
        <v>822.21433087500202</v>
      </c>
      <c r="X467">
        <f t="shared" si="49"/>
        <v>49.017108595674905</v>
      </c>
    </row>
    <row r="468" spans="1:24" x14ac:dyDescent="0.2">
      <c r="A468" t="s">
        <v>949</v>
      </c>
      <c r="B468" t="s">
        <v>950</v>
      </c>
      <c r="C468">
        <v>1982</v>
      </c>
      <c r="D468">
        <v>0</v>
      </c>
      <c r="E468">
        <v>0</v>
      </c>
      <c r="F468">
        <v>55</v>
      </c>
      <c r="G468">
        <v>159</v>
      </c>
      <c r="H468">
        <f t="shared" si="51"/>
        <v>21.75546853368142</v>
      </c>
      <c r="I468">
        <v>72</v>
      </c>
      <c r="J468">
        <v>76</v>
      </c>
      <c r="K468">
        <v>5.54</v>
      </c>
      <c r="L468">
        <v>0</v>
      </c>
      <c r="M468">
        <v>0</v>
      </c>
      <c r="N468">
        <v>0</v>
      </c>
      <c r="O468">
        <v>73</v>
      </c>
      <c r="P468">
        <v>0</v>
      </c>
      <c r="Q468">
        <v>48</v>
      </c>
      <c r="R468">
        <v>10</v>
      </c>
      <c r="S468">
        <v>219</v>
      </c>
      <c r="T468">
        <v>4.5</v>
      </c>
      <c r="V468">
        <v>0</v>
      </c>
      <c r="W468">
        <f t="shared" si="50"/>
        <v>570.81928326298396</v>
      </c>
      <c r="X468">
        <f t="shared" si="49"/>
        <v>4.0584970947313739</v>
      </c>
    </row>
    <row r="469" spans="1:24" x14ac:dyDescent="0.2">
      <c r="A469" t="s">
        <v>951</v>
      </c>
      <c r="B469" t="s">
        <v>952</v>
      </c>
      <c r="C469">
        <v>1989</v>
      </c>
      <c r="D469">
        <v>1</v>
      </c>
      <c r="E469">
        <v>0</v>
      </c>
      <c r="F469">
        <v>54</v>
      </c>
      <c r="G469">
        <v>162</v>
      </c>
      <c r="H469">
        <f t="shared" si="51"/>
        <v>20.576131687242793</v>
      </c>
      <c r="I469">
        <v>78</v>
      </c>
      <c r="J469">
        <v>101</v>
      </c>
      <c r="K469">
        <v>5.62</v>
      </c>
      <c r="L469">
        <v>0</v>
      </c>
      <c r="M469">
        <v>0</v>
      </c>
      <c r="N469">
        <v>0</v>
      </c>
      <c r="O469">
        <v>208</v>
      </c>
      <c r="P469">
        <v>0</v>
      </c>
      <c r="Q469">
        <v>36</v>
      </c>
      <c r="R469">
        <v>23</v>
      </c>
      <c r="S469">
        <v>250</v>
      </c>
      <c r="T469">
        <v>5.3</v>
      </c>
      <c r="V469">
        <v>0</v>
      </c>
      <c r="W469">
        <f t="shared" si="50"/>
        <v>722.24189044664524</v>
      </c>
      <c r="X469">
        <f t="shared" si="49"/>
        <v>19.576775464444118</v>
      </c>
    </row>
    <row r="470" spans="1:24" hidden="1" x14ac:dyDescent="0.2">
      <c r="A470" t="s">
        <v>953</v>
      </c>
      <c r="B470" t="s">
        <v>954</v>
      </c>
      <c r="C470">
        <v>1980</v>
      </c>
      <c r="D470">
        <v>1</v>
      </c>
      <c r="E470">
        <v>0</v>
      </c>
      <c r="F470">
        <v>56</v>
      </c>
      <c r="G470">
        <v>162</v>
      </c>
      <c r="H470">
        <f t="shared" si="51"/>
        <v>21.338210638622158</v>
      </c>
      <c r="I470">
        <v>79</v>
      </c>
      <c r="J470">
        <v>92</v>
      </c>
      <c r="K470">
        <v>5.34</v>
      </c>
      <c r="L470">
        <v>0</v>
      </c>
      <c r="M470">
        <v>0</v>
      </c>
      <c r="N470">
        <v>0</v>
      </c>
      <c r="O470">
        <v>191</v>
      </c>
      <c r="P470">
        <v>0</v>
      </c>
      <c r="Q470">
        <v>63</v>
      </c>
      <c r="R470">
        <v>210</v>
      </c>
      <c r="S470">
        <v>225</v>
      </c>
      <c r="T470">
        <v>6.8</v>
      </c>
      <c r="V470">
        <v>1</v>
      </c>
      <c r="W470">
        <f t="shared" si="50"/>
        <v>717.39227113832226</v>
      </c>
      <c r="X470">
        <f t="shared" si="49"/>
        <v>56.282890986340099</v>
      </c>
    </row>
    <row r="471" spans="1:24" x14ac:dyDescent="0.2">
      <c r="A471" t="s">
        <v>955</v>
      </c>
      <c r="B471" t="s">
        <v>956</v>
      </c>
      <c r="C471">
        <v>1972</v>
      </c>
      <c r="D471">
        <v>0</v>
      </c>
      <c r="E471">
        <v>1</v>
      </c>
      <c r="F471">
        <v>44</v>
      </c>
      <c r="G471">
        <v>151</v>
      </c>
      <c r="H471">
        <f t="shared" si="51"/>
        <v>19.297399236875574</v>
      </c>
      <c r="I471">
        <v>70</v>
      </c>
      <c r="J471">
        <v>103</v>
      </c>
      <c r="K471">
        <v>5.74</v>
      </c>
      <c r="L471">
        <v>1</v>
      </c>
      <c r="M471">
        <v>0</v>
      </c>
      <c r="N471">
        <v>1</v>
      </c>
      <c r="O471">
        <v>84</v>
      </c>
      <c r="P471">
        <v>0</v>
      </c>
      <c r="Q471">
        <v>55</v>
      </c>
      <c r="R471">
        <v>15</v>
      </c>
      <c r="S471">
        <v>235</v>
      </c>
      <c r="T471">
        <v>5.2</v>
      </c>
      <c r="V471">
        <v>0</v>
      </c>
      <c r="W471">
        <f t="shared" si="50"/>
        <v>586.06790245591026</v>
      </c>
      <c r="X471">
        <f t="shared" si="49"/>
        <v>3.9706919898692514</v>
      </c>
    </row>
    <row r="472" spans="1:24" x14ac:dyDescent="0.2">
      <c r="A472" t="s">
        <v>957</v>
      </c>
      <c r="B472" t="s">
        <v>958</v>
      </c>
      <c r="C472">
        <v>1980</v>
      </c>
      <c r="D472">
        <v>1</v>
      </c>
      <c r="E472">
        <v>0</v>
      </c>
      <c r="F472">
        <v>59</v>
      </c>
      <c r="G472">
        <v>159</v>
      </c>
      <c r="H472">
        <f t="shared" si="51"/>
        <v>23.337684427040067</v>
      </c>
      <c r="I472">
        <v>83</v>
      </c>
      <c r="J472">
        <v>103</v>
      </c>
      <c r="K472">
        <v>5.74</v>
      </c>
      <c r="L472">
        <v>0</v>
      </c>
      <c r="M472">
        <v>0</v>
      </c>
      <c r="N472">
        <v>0</v>
      </c>
      <c r="O472">
        <v>138</v>
      </c>
      <c r="P472">
        <v>0</v>
      </c>
      <c r="Q472">
        <v>50</v>
      </c>
      <c r="R472">
        <v>30</v>
      </c>
      <c r="S472">
        <v>215</v>
      </c>
      <c r="T472">
        <v>4.0999999999999996</v>
      </c>
      <c r="V472">
        <v>0</v>
      </c>
      <c r="W472">
        <f t="shared" si="50"/>
        <v>736.1133459046323</v>
      </c>
      <c r="X472">
        <f t="shared" si="49"/>
        <v>27.601221820906957</v>
      </c>
    </row>
    <row r="473" spans="1:24" hidden="1" x14ac:dyDescent="0.2">
      <c r="A473" t="s">
        <v>959</v>
      </c>
      <c r="B473" t="s">
        <v>960</v>
      </c>
      <c r="C473">
        <v>1976</v>
      </c>
      <c r="D473">
        <v>1</v>
      </c>
      <c r="E473">
        <v>1</v>
      </c>
      <c r="F473">
        <v>98</v>
      </c>
      <c r="G473">
        <v>162</v>
      </c>
      <c r="H473">
        <f t="shared" si="51"/>
        <v>37.341868617588773</v>
      </c>
      <c r="I473">
        <v>117</v>
      </c>
      <c r="J473">
        <v>187</v>
      </c>
      <c r="K473">
        <v>8.41</v>
      </c>
      <c r="L473">
        <v>1</v>
      </c>
      <c r="M473">
        <v>0</v>
      </c>
      <c r="N473">
        <v>1</v>
      </c>
      <c r="O473">
        <v>68</v>
      </c>
      <c r="P473">
        <v>1</v>
      </c>
      <c r="Q473">
        <v>40</v>
      </c>
      <c r="R473">
        <v>209</v>
      </c>
      <c r="S473">
        <v>331</v>
      </c>
      <c r="T473">
        <v>7.7</v>
      </c>
      <c r="V473">
        <v>1</v>
      </c>
      <c r="W473">
        <f t="shared" si="50"/>
        <v>1024.6238895520776</v>
      </c>
      <c r="X473">
        <f t="shared" si="49"/>
        <v>97.078737737097086</v>
      </c>
    </row>
    <row r="474" spans="1:24" x14ac:dyDescent="0.2">
      <c r="A474" t="s">
        <v>961</v>
      </c>
      <c r="B474" t="s">
        <v>962</v>
      </c>
      <c r="C474">
        <v>1967</v>
      </c>
      <c r="D474">
        <v>1</v>
      </c>
      <c r="E474">
        <v>0</v>
      </c>
      <c r="F474">
        <v>66</v>
      </c>
      <c r="G474">
        <v>172</v>
      </c>
      <c r="H474">
        <f t="shared" si="51"/>
        <v>22.309356408869661</v>
      </c>
      <c r="I474">
        <v>87</v>
      </c>
      <c r="J474">
        <v>88</v>
      </c>
      <c r="K474">
        <v>5.71</v>
      </c>
      <c r="L474">
        <v>0</v>
      </c>
      <c r="M474">
        <v>0</v>
      </c>
      <c r="N474">
        <v>1</v>
      </c>
      <c r="O474">
        <v>286</v>
      </c>
      <c r="P474">
        <v>0</v>
      </c>
      <c r="Q474">
        <v>39</v>
      </c>
      <c r="R474">
        <v>26</v>
      </c>
      <c r="S474">
        <v>217</v>
      </c>
      <c r="T474">
        <v>6.3</v>
      </c>
      <c r="V474">
        <v>0</v>
      </c>
      <c r="W474">
        <f t="shared" si="50"/>
        <v>821.29578569221587</v>
      </c>
      <c r="X474">
        <f t="shared" si="49"/>
        <v>42.469576268808503</v>
      </c>
    </row>
    <row r="475" spans="1:24" x14ac:dyDescent="0.2">
      <c r="A475" t="s">
        <v>963</v>
      </c>
      <c r="B475" t="s">
        <v>964</v>
      </c>
      <c r="C475">
        <v>1998</v>
      </c>
      <c r="D475">
        <v>0</v>
      </c>
      <c r="E475">
        <v>0</v>
      </c>
      <c r="F475">
        <v>58</v>
      </c>
      <c r="G475">
        <v>155</v>
      </c>
      <c r="H475">
        <f t="shared" si="51"/>
        <v>24.141519250780433</v>
      </c>
      <c r="I475">
        <v>74</v>
      </c>
      <c r="J475">
        <v>86</v>
      </c>
      <c r="K475">
        <v>5.23</v>
      </c>
      <c r="L475">
        <v>0</v>
      </c>
      <c r="M475">
        <v>0</v>
      </c>
      <c r="N475">
        <v>0</v>
      </c>
      <c r="O475">
        <v>89</v>
      </c>
      <c r="P475">
        <v>0</v>
      </c>
      <c r="Q475">
        <v>66</v>
      </c>
      <c r="R475">
        <v>13</v>
      </c>
      <c r="S475">
        <v>251</v>
      </c>
      <c r="T475">
        <v>5.2</v>
      </c>
      <c r="V475">
        <v>0</v>
      </c>
      <c r="W475">
        <f t="shared" si="50"/>
        <v>610.48789992150193</v>
      </c>
      <c r="X475">
        <f t="shared" si="49"/>
        <v>8.7222905918958737</v>
      </c>
    </row>
    <row r="476" spans="1:24" x14ac:dyDescent="0.2">
      <c r="A476" t="s">
        <v>965</v>
      </c>
      <c r="B476" t="s">
        <v>966</v>
      </c>
      <c r="C476">
        <v>2000</v>
      </c>
      <c r="D476">
        <v>1</v>
      </c>
      <c r="E476">
        <v>1</v>
      </c>
      <c r="F476">
        <v>73</v>
      </c>
      <c r="G476">
        <v>168</v>
      </c>
      <c r="H476">
        <f t="shared" si="51"/>
        <v>25.864512471655331</v>
      </c>
      <c r="I476">
        <v>90</v>
      </c>
      <c r="J476">
        <v>86</v>
      </c>
      <c r="K476">
        <v>5.4</v>
      </c>
      <c r="L476">
        <v>0</v>
      </c>
      <c r="M476">
        <v>0</v>
      </c>
      <c r="N476">
        <v>0</v>
      </c>
      <c r="O476">
        <v>93</v>
      </c>
      <c r="P476">
        <v>0</v>
      </c>
      <c r="Q476">
        <v>41</v>
      </c>
      <c r="R476">
        <v>21</v>
      </c>
      <c r="S476">
        <v>242</v>
      </c>
      <c r="T476">
        <v>7.1</v>
      </c>
      <c r="V476">
        <v>0</v>
      </c>
      <c r="W476">
        <f t="shared" si="50"/>
        <v>746.4419647962136</v>
      </c>
      <c r="X476">
        <f t="shared" si="49"/>
        <v>29.436069483729689</v>
      </c>
    </row>
    <row r="477" spans="1:24" x14ac:dyDescent="0.2">
      <c r="A477" t="s">
        <v>967</v>
      </c>
      <c r="B477" t="s">
        <v>968</v>
      </c>
      <c r="C477">
        <v>1989</v>
      </c>
      <c r="D477">
        <v>0</v>
      </c>
      <c r="E477">
        <v>1</v>
      </c>
      <c r="F477">
        <v>66</v>
      </c>
      <c r="G477">
        <v>160</v>
      </c>
      <c r="H477">
        <f t="shared" si="51"/>
        <v>25.781249999999996</v>
      </c>
      <c r="I477">
        <v>92</v>
      </c>
      <c r="J477">
        <v>115</v>
      </c>
      <c r="K477">
        <v>6.52</v>
      </c>
      <c r="L477">
        <v>0</v>
      </c>
      <c r="M477">
        <v>0</v>
      </c>
      <c r="N477">
        <v>0</v>
      </c>
      <c r="O477">
        <v>92</v>
      </c>
      <c r="P477">
        <v>0</v>
      </c>
      <c r="Q477">
        <v>63</v>
      </c>
      <c r="R477">
        <v>26</v>
      </c>
      <c r="S477">
        <v>287</v>
      </c>
      <c r="T477">
        <v>4.4000000000000004</v>
      </c>
      <c r="V477">
        <v>0</v>
      </c>
      <c r="W477">
        <f t="shared" si="50"/>
        <v>788.76876428641572</v>
      </c>
      <c r="X477">
        <f t="shared" si="49"/>
        <v>34.596383043996696</v>
      </c>
    </row>
    <row r="478" spans="1:24" x14ac:dyDescent="0.2">
      <c r="A478" t="s">
        <v>969</v>
      </c>
      <c r="B478" t="s">
        <v>970</v>
      </c>
      <c r="C478">
        <v>1989</v>
      </c>
      <c r="D478">
        <v>0</v>
      </c>
      <c r="E478">
        <v>1</v>
      </c>
      <c r="F478">
        <v>79</v>
      </c>
      <c r="G478">
        <v>155</v>
      </c>
      <c r="H478">
        <f t="shared" si="51"/>
        <v>32.882414151925076</v>
      </c>
      <c r="I478">
        <v>98</v>
      </c>
      <c r="J478">
        <v>168</v>
      </c>
      <c r="K478">
        <v>7.78</v>
      </c>
      <c r="L478">
        <v>1</v>
      </c>
      <c r="M478">
        <v>0</v>
      </c>
      <c r="N478">
        <v>1</v>
      </c>
      <c r="O478">
        <v>181</v>
      </c>
      <c r="P478">
        <v>0</v>
      </c>
      <c r="Q478">
        <v>51</v>
      </c>
      <c r="R478">
        <v>72</v>
      </c>
      <c r="S478">
        <v>373</v>
      </c>
      <c r="T478">
        <v>8.6</v>
      </c>
      <c r="V478">
        <v>0</v>
      </c>
      <c r="W478">
        <f t="shared" si="50"/>
        <v>943.67275535069552</v>
      </c>
      <c r="X478">
        <f t="shared" si="49"/>
        <v>88.538759969632594</v>
      </c>
    </row>
    <row r="479" spans="1:24" hidden="1" x14ac:dyDescent="0.2">
      <c r="A479" t="s">
        <v>971</v>
      </c>
      <c r="B479" t="s">
        <v>972</v>
      </c>
      <c r="C479">
        <v>1984</v>
      </c>
      <c r="D479">
        <v>1</v>
      </c>
      <c r="E479">
        <v>1</v>
      </c>
      <c r="F479">
        <v>69</v>
      </c>
      <c r="G479">
        <v>170</v>
      </c>
      <c r="H479">
        <f t="shared" si="51"/>
        <v>23.87543252595156</v>
      </c>
      <c r="I479">
        <v>88</v>
      </c>
      <c r="J479">
        <v>96</v>
      </c>
      <c r="K479">
        <v>5.04</v>
      </c>
      <c r="L479">
        <v>0</v>
      </c>
      <c r="M479">
        <v>0</v>
      </c>
      <c r="N479">
        <v>0</v>
      </c>
      <c r="O479">
        <v>363</v>
      </c>
      <c r="P479">
        <v>0</v>
      </c>
      <c r="Q479">
        <v>47</v>
      </c>
      <c r="R479">
        <v>110</v>
      </c>
      <c r="S479">
        <v>251</v>
      </c>
      <c r="T479">
        <v>4.7</v>
      </c>
      <c r="V479">
        <v>1</v>
      </c>
      <c r="W479">
        <f t="shared" si="50"/>
        <v>859.37313837520128</v>
      </c>
      <c r="X479">
        <f t="shared" si="49"/>
        <v>77.381786101345497</v>
      </c>
    </row>
    <row r="480" spans="1:24" x14ac:dyDescent="0.2">
      <c r="A480" t="s">
        <v>973</v>
      </c>
      <c r="B480" t="s">
        <v>284</v>
      </c>
      <c r="C480">
        <v>1972</v>
      </c>
      <c r="D480">
        <v>1</v>
      </c>
      <c r="E480">
        <v>1</v>
      </c>
      <c r="F480">
        <v>58</v>
      </c>
      <c r="G480">
        <v>159</v>
      </c>
      <c r="H480">
        <f t="shared" si="51"/>
        <v>22.942130453700404</v>
      </c>
      <c r="I480">
        <v>81</v>
      </c>
      <c r="J480">
        <v>101</v>
      </c>
      <c r="K480">
        <v>5.69</v>
      </c>
      <c r="L480">
        <v>0</v>
      </c>
      <c r="M480">
        <v>0</v>
      </c>
      <c r="N480">
        <v>0</v>
      </c>
      <c r="O480">
        <v>174</v>
      </c>
      <c r="P480">
        <v>0</v>
      </c>
      <c r="Q480">
        <v>52</v>
      </c>
      <c r="R480">
        <v>16</v>
      </c>
      <c r="S480">
        <v>237</v>
      </c>
      <c r="T480">
        <v>5.2</v>
      </c>
      <c r="V480">
        <v>0</v>
      </c>
      <c r="W480">
        <f t="shared" si="50"/>
        <v>735.56331947516321</v>
      </c>
      <c r="X480">
        <f t="shared" si="49"/>
        <v>20.493264596866801</v>
      </c>
    </row>
    <row r="481" spans="1:24" x14ac:dyDescent="0.2">
      <c r="A481" t="s">
        <v>974</v>
      </c>
      <c r="B481" t="s">
        <v>975</v>
      </c>
      <c r="C481">
        <v>2003</v>
      </c>
      <c r="D481">
        <v>1</v>
      </c>
      <c r="E481">
        <v>1</v>
      </c>
      <c r="F481">
        <v>84</v>
      </c>
      <c r="G481">
        <v>176</v>
      </c>
      <c r="H481">
        <f t="shared" si="51"/>
        <v>27.117768595041323</v>
      </c>
      <c r="I481">
        <v>89</v>
      </c>
      <c r="J481">
        <v>88</v>
      </c>
      <c r="K481">
        <v>5.6</v>
      </c>
      <c r="L481">
        <v>0</v>
      </c>
      <c r="M481">
        <v>0</v>
      </c>
      <c r="N481">
        <v>0</v>
      </c>
      <c r="O481">
        <v>183</v>
      </c>
      <c r="P481">
        <v>0</v>
      </c>
      <c r="Q481">
        <v>43</v>
      </c>
      <c r="R481">
        <v>47</v>
      </c>
      <c r="S481">
        <v>279</v>
      </c>
      <c r="T481">
        <v>6</v>
      </c>
      <c r="V481">
        <v>0</v>
      </c>
      <c r="W481">
        <f t="shared" si="50"/>
        <v>800.43714502161174</v>
      </c>
      <c r="X481">
        <f t="shared" si="49"/>
        <v>61.548224083162168</v>
      </c>
    </row>
    <row r="482" spans="1:24" x14ac:dyDescent="0.2">
      <c r="A482" t="s">
        <v>976</v>
      </c>
      <c r="B482" t="s">
        <v>977</v>
      </c>
      <c r="C482">
        <v>1971</v>
      </c>
      <c r="D482">
        <v>0</v>
      </c>
      <c r="E482">
        <v>1</v>
      </c>
      <c r="F482">
        <v>60</v>
      </c>
      <c r="G482">
        <v>156</v>
      </c>
      <c r="H482">
        <f t="shared" si="51"/>
        <v>24.654832347140037</v>
      </c>
      <c r="I482">
        <v>84</v>
      </c>
      <c r="J482">
        <v>110</v>
      </c>
      <c r="K482">
        <v>6</v>
      </c>
      <c r="L482">
        <v>0</v>
      </c>
      <c r="M482">
        <v>0</v>
      </c>
      <c r="N482">
        <v>1</v>
      </c>
      <c r="O482">
        <v>108</v>
      </c>
      <c r="P482">
        <v>0</v>
      </c>
      <c r="Q482">
        <v>35</v>
      </c>
      <c r="R482">
        <v>26</v>
      </c>
      <c r="S482">
        <v>320</v>
      </c>
      <c r="T482">
        <v>5.5</v>
      </c>
      <c r="V482">
        <v>0</v>
      </c>
      <c r="W482">
        <f t="shared" si="50"/>
        <v>729.91501063796193</v>
      </c>
      <c r="X482">
        <f t="shared" si="49"/>
        <v>25.64325279368698</v>
      </c>
    </row>
    <row r="483" spans="1:24" x14ac:dyDescent="0.2">
      <c r="A483" t="s">
        <v>978</v>
      </c>
      <c r="B483" t="s">
        <v>979</v>
      </c>
      <c r="C483">
        <v>1977</v>
      </c>
      <c r="D483">
        <v>0</v>
      </c>
      <c r="E483">
        <v>1</v>
      </c>
      <c r="F483">
        <v>54</v>
      </c>
      <c r="G483">
        <v>151</v>
      </c>
      <c r="H483">
        <f t="shared" si="51"/>
        <v>23.683171790710933</v>
      </c>
      <c r="I483">
        <v>82</v>
      </c>
      <c r="J483">
        <v>85</v>
      </c>
      <c r="K483">
        <v>5.27</v>
      </c>
      <c r="L483">
        <v>0</v>
      </c>
      <c r="M483">
        <v>0</v>
      </c>
      <c r="N483">
        <v>0</v>
      </c>
      <c r="O483">
        <v>171</v>
      </c>
      <c r="P483">
        <v>0</v>
      </c>
      <c r="Q483">
        <v>47</v>
      </c>
      <c r="R483">
        <v>27</v>
      </c>
      <c r="S483">
        <v>287</v>
      </c>
      <c r="T483">
        <v>6.1</v>
      </c>
      <c r="V483">
        <v>0</v>
      </c>
      <c r="W483">
        <f t="shared" si="50"/>
        <v>729.07574585950863</v>
      </c>
      <c r="X483">
        <f t="shared" si="49"/>
        <v>30.140361407837837</v>
      </c>
    </row>
    <row r="484" spans="1:24" x14ac:dyDescent="0.2">
      <c r="A484" t="s">
        <v>980</v>
      </c>
      <c r="B484" t="s">
        <v>981</v>
      </c>
      <c r="C484">
        <v>1984</v>
      </c>
      <c r="D484">
        <v>0</v>
      </c>
      <c r="E484">
        <v>1</v>
      </c>
      <c r="F484">
        <v>61</v>
      </c>
      <c r="G484">
        <v>155</v>
      </c>
      <c r="H484">
        <f t="shared" si="51"/>
        <v>25.390218522372525</v>
      </c>
      <c r="I484">
        <v>79</v>
      </c>
      <c r="J484">
        <v>86</v>
      </c>
      <c r="K484">
        <v>5.4</v>
      </c>
      <c r="L484">
        <v>0</v>
      </c>
      <c r="M484">
        <v>0</v>
      </c>
      <c r="N484">
        <v>0</v>
      </c>
      <c r="O484">
        <v>102</v>
      </c>
      <c r="P484">
        <v>0</v>
      </c>
      <c r="Q484">
        <v>53</v>
      </c>
      <c r="R484">
        <v>24</v>
      </c>
      <c r="S484">
        <v>222</v>
      </c>
      <c r="T484">
        <v>4.5999999999999996</v>
      </c>
      <c r="V484">
        <v>0</v>
      </c>
      <c r="W484">
        <f t="shared" si="50"/>
        <v>662.50766138924882</v>
      </c>
      <c r="X484">
        <f t="shared" si="49"/>
        <v>20.762225464330328</v>
      </c>
    </row>
    <row r="485" spans="1:24" x14ac:dyDescent="0.2">
      <c r="A485" t="s">
        <v>982</v>
      </c>
      <c r="B485" t="s">
        <v>983</v>
      </c>
      <c r="C485">
        <v>1991</v>
      </c>
      <c r="D485">
        <v>0</v>
      </c>
      <c r="E485">
        <v>0</v>
      </c>
      <c r="F485">
        <v>57</v>
      </c>
      <c r="G485">
        <v>162</v>
      </c>
      <c r="H485">
        <f t="shared" si="51"/>
        <v>21.719250114311837</v>
      </c>
      <c r="I485">
        <v>75</v>
      </c>
      <c r="J485">
        <v>94</v>
      </c>
      <c r="K485">
        <v>5.7</v>
      </c>
      <c r="L485">
        <v>0</v>
      </c>
      <c r="M485">
        <v>0</v>
      </c>
      <c r="N485">
        <v>0</v>
      </c>
      <c r="O485">
        <v>106</v>
      </c>
      <c r="P485">
        <v>0</v>
      </c>
      <c r="Q485">
        <v>50</v>
      </c>
      <c r="R485">
        <v>20</v>
      </c>
      <c r="S485">
        <v>226</v>
      </c>
      <c r="T485">
        <v>5.5</v>
      </c>
      <c r="V485">
        <v>0</v>
      </c>
      <c r="W485">
        <f t="shared" si="50"/>
        <v>638.51900218665935</v>
      </c>
      <c r="X485">
        <f t="shared" si="49"/>
        <v>10.37875935213297</v>
      </c>
    </row>
    <row r="486" spans="1:24" x14ac:dyDescent="0.2">
      <c r="A486" t="s">
        <v>984</v>
      </c>
      <c r="B486" t="s">
        <v>985</v>
      </c>
      <c r="C486">
        <v>1998</v>
      </c>
      <c r="D486">
        <v>0</v>
      </c>
      <c r="E486">
        <v>1</v>
      </c>
      <c r="F486">
        <v>62</v>
      </c>
      <c r="G486">
        <v>157</v>
      </c>
      <c r="H486">
        <f t="shared" si="51"/>
        <v>25.153150229218223</v>
      </c>
      <c r="I486">
        <v>78</v>
      </c>
      <c r="J486">
        <v>86</v>
      </c>
      <c r="K486">
        <v>5.46</v>
      </c>
      <c r="L486">
        <v>0</v>
      </c>
      <c r="M486">
        <v>0</v>
      </c>
      <c r="N486">
        <v>0</v>
      </c>
      <c r="O486">
        <v>121</v>
      </c>
      <c r="P486">
        <v>0</v>
      </c>
      <c r="Q486">
        <v>45</v>
      </c>
      <c r="R486">
        <v>15</v>
      </c>
      <c r="S486">
        <v>224</v>
      </c>
      <c r="T486">
        <v>5.4</v>
      </c>
      <c r="V486">
        <v>0</v>
      </c>
      <c r="W486">
        <f t="shared" si="50"/>
        <v>667.44527158064363</v>
      </c>
      <c r="X486">
        <f t="shared" si="49"/>
        <v>16.798948597980349</v>
      </c>
    </row>
    <row r="487" spans="1:24" x14ac:dyDescent="0.2">
      <c r="A487" t="s">
        <v>986</v>
      </c>
      <c r="B487" t="s">
        <v>987</v>
      </c>
      <c r="C487">
        <v>1995</v>
      </c>
      <c r="D487">
        <v>1</v>
      </c>
      <c r="E487">
        <v>1</v>
      </c>
      <c r="F487">
        <v>78</v>
      </c>
      <c r="G487">
        <v>169</v>
      </c>
      <c r="H487">
        <f t="shared" si="51"/>
        <v>27.309968138370508</v>
      </c>
      <c r="I487">
        <v>92</v>
      </c>
      <c r="J487">
        <v>97</v>
      </c>
      <c r="K487">
        <v>5.47</v>
      </c>
      <c r="L487">
        <v>0</v>
      </c>
      <c r="M487">
        <v>0</v>
      </c>
      <c r="N487">
        <v>0</v>
      </c>
      <c r="O487">
        <v>110</v>
      </c>
      <c r="P487">
        <v>0</v>
      </c>
      <c r="Q487">
        <v>57</v>
      </c>
      <c r="R487">
        <v>25</v>
      </c>
      <c r="S487">
        <v>225</v>
      </c>
      <c r="T487">
        <v>7.1</v>
      </c>
      <c r="V487">
        <v>0</v>
      </c>
      <c r="W487">
        <f t="shared" si="50"/>
        <v>789.54806306369846</v>
      </c>
      <c r="X487">
        <f t="shared" si="49"/>
        <v>42.9913568656251</v>
      </c>
    </row>
    <row r="488" spans="1:24" hidden="1" x14ac:dyDescent="0.2">
      <c r="A488" t="s">
        <v>988</v>
      </c>
      <c r="B488" t="s">
        <v>989</v>
      </c>
      <c r="C488">
        <v>1984</v>
      </c>
      <c r="D488">
        <v>1</v>
      </c>
      <c r="E488">
        <v>0</v>
      </c>
      <c r="F488">
        <v>61</v>
      </c>
      <c r="G488">
        <v>162</v>
      </c>
      <c r="H488">
        <f t="shared" si="51"/>
        <v>23.243408017070564</v>
      </c>
      <c r="I488">
        <v>80</v>
      </c>
      <c r="J488">
        <v>101</v>
      </c>
      <c r="K488">
        <v>5.8</v>
      </c>
      <c r="L488">
        <v>0</v>
      </c>
      <c r="M488">
        <v>0</v>
      </c>
      <c r="N488">
        <v>0</v>
      </c>
      <c r="O488">
        <v>711</v>
      </c>
      <c r="P488">
        <v>0</v>
      </c>
      <c r="Q488">
        <v>37</v>
      </c>
      <c r="R488">
        <v>88</v>
      </c>
      <c r="S488">
        <v>241</v>
      </c>
      <c r="T488">
        <v>6.1</v>
      </c>
      <c r="V488">
        <v>1</v>
      </c>
      <c r="W488">
        <f t="shared" si="50"/>
        <v>839.09166128676452</v>
      </c>
      <c r="X488">
        <f t="shared" si="49"/>
        <v>76.82757040239153</v>
      </c>
    </row>
    <row r="489" spans="1:24" x14ac:dyDescent="0.2">
      <c r="A489" t="s">
        <v>990</v>
      </c>
      <c r="B489" t="s">
        <v>991</v>
      </c>
      <c r="C489">
        <v>1999</v>
      </c>
      <c r="D489">
        <v>1</v>
      </c>
      <c r="E489">
        <v>0</v>
      </c>
      <c r="F489">
        <v>60</v>
      </c>
      <c r="G489">
        <v>169</v>
      </c>
      <c r="H489">
        <f t="shared" si="51"/>
        <v>21.007667798746546</v>
      </c>
      <c r="I489">
        <v>78</v>
      </c>
      <c r="J489">
        <v>88</v>
      </c>
      <c r="K489">
        <v>5.3</v>
      </c>
      <c r="L489">
        <v>0</v>
      </c>
      <c r="M489">
        <v>0</v>
      </c>
      <c r="N489">
        <v>0</v>
      </c>
      <c r="O489">
        <v>192</v>
      </c>
      <c r="P489">
        <v>0</v>
      </c>
      <c r="Q489">
        <v>51</v>
      </c>
      <c r="R489">
        <v>24</v>
      </c>
      <c r="S489">
        <v>208</v>
      </c>
      <c r="T489">
        <v>4.3</v>
      </c>
      <c r="V489">
        <v>0</v>
      </c>
      <c r="W489">
        <f t="shared" si="50"/>
        <v>705.25143046379139</v>
      </c>
      <c r="X489">
        <f t="shared" si="49"/>
        <v>19.802273118972575</v>
      </c>
    </row>
    <row r="490" spans="1:24" x14ac:dyDescent="0.2">
      <c r="A490" t="s">
        <v>992</v>
      </c>
      <c r="B490" t="s">
        <v>993</v>
      </c>
      <c r="C490">
        <v>1980</v>
      </c>
      <c r="D490">
        <v>1</v>
      </c>
      <c r="E490">
        <v>1</v>
      </c>
      <c r="F490">
        <v>80</v>
      </c>
      <c r="G490">
        <v>177</v>
      </c>
      <c r="H490">
        <f t="shared" si="51"/>
        <v>25.535446391522228</v>
      </c>
      <c r="I490">
        <v>96</v>
      </c>
      <c r="J490">
        <v>117</v>
      </c>
      <c r="K490">
        <v>5.4</v>
      </c>
      <c r="L490">
        <v>0</v>
      </c>
      <c r="M490">
        <v>0</v>
      </c>
      <c r="N490">
        <v>1</v>
      </c>
      <c r="O490">
        <v>312</v>
      </c>
      <c r="P490">
        <v>0</v>
      </c>
      <c r="Q490">
        <v>58</v>
      </c>
      <c r="R490">
        <v>269</v>
      </c>
      <c r="S490">
        <v>273</v>
      </c>
      <c r="T490">
        <v>8.1999999999999993</v>
      </c>
      <c r="V490">
        <v>0</v>
      </c>
      <c r="W490">
        <f t="shared" si="50"/>
        <v>941.95487443654008</v>
      </c>
      <c r="X490">
        <f t="shared" si="49"/>
        <v>91.548398725946086</v>
      </c>
    </row>
    <row r="491" spans="1:24" x14ac:dyDescent="0.2">
      <c r="A491" t="s">
        <v>994</v>
      </c>
      <c r="B491" t="s">
        <v>995</v>
      </c>
      <c r="C491">
        <v>1977</v>
      </c>
      <c r="D491">
        <v>1</v>
      </c>
      <c r="E491">
        <v>1</v>
      </c>
      <c r="F491">
        <v>78</v>
      </c>
      <c r="G491">
        <v>169</v>
      </c>
      <c r="H491">
        <f t="shared" si="51"/>
        <v>27.309968138370508</v>
      </c>
      <c r="I491">
        <v>95</v>
      </c>
      <c r="J491">
        <v>108</v>
      </c>
      <c r="K491">
        <v>5.6</v>
      </c>
      <c r="L491">
        <v>0</v>
      </c>
      <c r="M491">
        <v>0</v>
      </c>
      <c r="N491">
        <v>0</v>
      </c>
      <c r="O491">
        <v>166</v>
      </c>
      <c r="P491">
        <v>0</v>
      </c>
      <c r="Q491">
        <v>58</v>
      </c>
      <c r="R491">
        <v>115</v>
      </c>
      <c r="S491">
        <v>311</v>
      </c>
      <c r="T491">
        <v>5.4</v>
      </c>
      <c r="V491">
        <v>0</v>
      </c>
      <c r="W491">
        <f t="shared" si="50"/>
        <v>864.59232431747773</v>
      </c>
      <c r="X491">
        <f t="shared" si="49"/>
        <v>79.651784158895993</v>
      </c>
    </row>
    <row r="492" spans="1:24" x14ac:dyDescent="0.2">
      <c r="A492" t="s">
        <v>996</v>
      </c>
      <c r="B492" t="s">
        <v>997</v>
      </c>
      <c r="C492">
        <v>1972</v>
      </c>
      <c r="D492">
        <v>1</v>
      </c>
      <c r="E492">
        <v>1</v>
      </c>
      <c r="F492">
        <v>64</v>
      </c>
      <c r="G492">
        <v>166</v>
      </c>
      <c r="H492">
        <f t="shared" si="51"/>
        <v>23.225431847873423</v>
      </c>
      <c r="I492">
        <v>87</v>
      </c>
      <c r="J492">
        <v>97</v>
      </c>
      <c r="K492">
        <v>5.4</v>
      </c>
      <c r="L492">
        <v>0</v>
      </c>
      <c r="M492">
        <v>0</v>
      </c>
      <c r="N492">
        <v>0</v>
      </c>
      <c r="O492">
        <v>85</v>
      </c>
      <c r="P492">
        <v>0</v>
      </c>
      <c r="Q492">
        <v>73</v>
      </c>
      <c r="R492">
        <v>31</v>
      </c>
      <c r="S492">
        <v>211</v>
      </c>
      <c r="T492">
        <v>6.7</v>
      </c>
      <c r="V492">
        <v>0</v>
      </c>
      <c r="W492">
        <f t="shared" si="50"/>
        <v>724.20670973573658</v>
      </c>
      <c r="X492">
        <f t="shared" si="49"/>
        <v>23.037135722820835</v>
      </c>
    </row>
    <row r="493" spans="1:24" x14ac:dyDescent="0.2">
      <c r="A493" t="s">
        <v>998</v>
      </c>
      <c r="B493" t="s">
        <v>999</v>
      </c>
      <c r="C493">
        <v>1972</v>
      </c>
      <c r="D493">
        <v>1</v>
      </c>
      <c r="E493">
        <v>1</v>
      </c>
      <c r="F493">
        <v>70</v>
      </c>
      <c r="G493">
        <v>163</v>
      </c>
      <c r="H493">
        <f t="shared" ref="H493:H524" si="52">F493/((G493/100)*(G493/100))</f>
        <v>26.346494034400994</v>
      </c>
      <c r="I493">
        <v>90</v>
      </c>
      <c r="J493">
        <v>97</v>
      </c>
      <c r="K493">
        <v>5.6</v>
      </c>
      <c r="L493">
        <v>0</v>
      </c>
      <c r="M493">
        <v>0</v>
      </c>
      <c r="N493">
        <v>1</v>
      </c>
      <c r="O493">
        <v>96</v>
      </c>
      <c r="P493">
        <v>0</v>
      </c>
      <c r="Q493">
        <v>63</v>
      </c>
      <c r="R493">
        <v>39</v>
      </c>
      <c r="S493">
        <v>255</v>
      </c>
      <c r="T493">
        <v>5.4</v>
      </c>
      <c r="V493">
        <v>0</v>
      </c>
      <c r="W493">
        <f t="shared" si="50"/>
        <v>760.1320790470146</v>
      </c>
      <c r="X493">
        <f t="shared" si="49"/>
        <v>41.761391643046515</v>
      </c>
    </row>
    <row r="494" spans="1:24" x14ac:dyDescent="0.2">
      <c r="A494" t="s">
        <v>1000</v>
      </c>
      <c r="B494" t="s">
        <v>1001</v>
      </c>
      <c r="C494">
        <v>1982</v>
      </c>
      <c r="D494">
        <v>1</v>
      </c>
      <c r="E494">
        <v>1</v>
      </c>
      <c r="F494">
        <v>68</v>
      </c>
      <c r="G494">
        <v>168</v>
      </c>
      <c r="H494">
        <f t="shared" si="52"/>
        <v>24.092970521541954</v>
      </c>
      <c r="I494">
        <v>89</v>
      </c>
      <c r="J494">
        <v>94</v>
      </c>
      <c r="K494">
        <v>5.6</v>
      </c>
      <c r="L494">
        <v>0</v>
      </c>
      <c r="M494">
        <v>0</v>
      </c>
      <c r="N494">
        <v>0</v>
      </c>
      <c r="O494">
        <v>103</v>
      </c>
      <c r="P494">
        <v>0</v>
      </c>
      <c r="Q494">
        <v>45</v>
      </c>
      <c r="R494">
        <v>30</v>
      </c>
      <c r="S494">
        <v>281</v>
      </c>
      <c r="T494">
        <v>4.5</v>
      </c>
      <c r="V494">
        <v>0</v>
      </c>
      <c r="W494">
        <f t="shared" si="50"/>
        <v>755.15401650463286</v>
      </c>
      <c r="X494">
        <f t="shared" si="49"/>
        <v>30.573804948730597</v>
      </c>
    </row>
    <row r="495" spans="1:24" x14ac:dyDescent="0.2">
      <c r="A495" t="s">
        <v>1002</v>
      </c>
      <c r="B495" t="s">
        <v>725</v>
      </c>
      <c r="C495">
        <v>1993</v>
      </c>
      <c r="D495">
        <v>1</v>
      </c>
      <c r="E495">
        <v>1</v>
      </c>
      <c r="F495">
        <v>76</v>
      </c>
      <c r="G495">
        <v>168</v>
      </c>
      <c r="H495">
        <f t="shared" si="52"/>
        <v>26.927437641723358</v>
      </c>
      <c r="I495">
        <v>88</v>
      </c>
      <c r="J495">
        <v>105</v>
      </c>
      <c r="K495">
        <v>5.3</v>
      </c>
      <c r="L495">
        <v>0</v>
      </c>
      <c r="M495">
        <v>0</v>
      </c>
      <c r="N495">
        <v>0</v>
      </c>
      <c r="O495">
        <v>432</v>
      </c>
      <c r="P495">
        <v>0</v>
      </c>
      <c r="Q495">
        <v>36</v>
      </c>
      <c r="R495">
        <v>53</v>
      </c>
      <c r="S495">
        <v>295</v>
      </c>
      <c r="T495">
        <v>6.6</v>
      </c>
      <c r="V495">
        <v>0</v>
      </c>
      <c r="W495">
        <f t="shared" si="50"/>
        <v>882.57301069006849</v>
      </c>
      <c r="X495">
        <f t="shared" si="49"/>
        <v>78.512610241866</v>
      </c>
    </row>
    <row r="496" spans="1:24" x14ac:dyDescent="0.2">
      <c r="A496" t="s">
        <v>1003</v>
      </c>
      <c r="B496" t="s">
        <v>1004</v>
      </c>
      <c r="C496">
        <v>1982</v>
      </c>
      <c r="D496">
        <v>1</v>
      </c>
      <c r="E496">
        <v>0</v>
      </c>
      <c r="F496">
        <v>56</v>
      </c>
      <c r="G496">
        <v>168</v>
      </c>
      <c r="H496">
        <f t="shared" si="52"/>
        <v>19.841269841269845</v>
      </c>
      <c r="I496">
        <v>77</v>
      </c>
      <c r="J496">
        <v>110</v>
      </c>
      <c r="K496">
        <v>5.7</v>
      </c>
      <c r="L496">
        <v>0</v>
      </c>
      <c r="M496">
        <v>0</v>
      </c>
      <c r="N496">
        <v>0</v>
      </c>
      <c r="O496">
        <v>92</v>
      </c>
      <c r="P496">
        <v>0</v>
      </c>
      <c r="Q496">
        <v>70</v>
      </c>
      <c r="R496">
        <v>95</v>
      </c>
      <c r="S496">
        <v>215</v>
      </c>
      <c r="T496">
        <v>5.5</v>
      </c>
      <c r="V496">
        <v>0</v>
      </c>
      <c r="W496">
        <f t="shared" si="50"/>
        <v>656.74237569567629</v>
      </c>
      <c r="X496">
        <f t="shared" si="49"/>
        <v>20.963691716281389</v>
      </c>
    </row>
    <row r="497" spans="1:24" x14ac:dyDescent="0.2">
      <c r="A497" t="s">
        <v>1005</v>
      </c>
      <c r="B497" t="s">
        <v>1006</v>
      </c>
      <c r="C497">
        <v>1973</v>
      </c>
      <c r="D497">
        <v>1</v>
      </c>
      <c r="E497">
        <v>1</v>
      </c>
      <c r="F497">
        <v>71</v>
      </c>
      <c r="G497">
        <v>165</v>
      </c>
      <c r="H497">
        <f t="shared" si="52"/>
        <v>26.078971533516992</v>
      </c>
      <c r="I497">
        <v>93</v>
      </c>
      <c r="J497">
        <v>97</v>
      </c>
      <c r="K497">
        <v>5.6</v>
      </c>
      <c r="L497">
        <v>0</v>
      </c>
      <c r="M497">
        <v>0</v>
      </c>
      <c r="N497">
        <v>1</v>
      </c>
      <c r="O497">
        <v>96</v>
      </c>
      <c r="P497">
        <v>0</v>
      </c>
      <c r="Q497">
        <v>42</v>
      </c>
      <c r="R497">
        <v>49</v>
      </c>
      <c r="S497">
        <v>295</v>
      </c>
      <c r="T497">
        <v>9.9</v>
      </c>
      <c r="V497">
        <v>0</v>
      </c>
      <c r="W497">
        <f t="shared" si="50"/>
        <v>785.4698150152484</v>
      </c>
      <c r="X497">
        <f t="shared" si="49"/>
        <v>48.828410582326761</v>
      </c>
    </row>
    <row r="498" spans="1:24" x14ac:dyDescent="0.2">
      <c r="A498" t="s">
        <v>1007</v>
      </c>
      <c r="B498" t="s">
        <v>1008</v>
      </c>
      <c r="C498">
        <v>1977</v>
      </c>
      <c r="D498">
        <v>1</v>
      </c>
      <c r="E498">
        <v>0</v>
      </c>
      <c r="F498">
        <v>79</v>
      </c>
      <c r="G498">
        <v>171</v>
      </c>
      <c r="H498">
        <f t="shared" si="52"/>
        <v>27.016859888512709</v>
      </c>
      <c r="I498">
        <v>91</v>
      </c>
      <c r="J498">
        <v>88</v>
      </c>
      <c r="K498">
        <v>5.9</v>
      </c>
      <c r="L498">
        <v>0</v>
      </c>
      <c r="M498">
        <v>0</v>
      </c>
      <c r="N498">
        <v>0</v>
      </c>
      <c r="O498">
        <v>114</v>
      </c>
      <c r="P498">
        <v>0</v>
      </c>
      <c r="Q498">
        <v>50</v>
      </c>
      <c r="R498">
        <v>31</v>
      </c>
      <c r="S498">
        <v>190</v>
      </c>
      <c r="T498">
        <v>4.9000000000000004</v>
      </c>
      <c r="V498">
        <v>0</v>
      </c>
      <c r="W498">
        <f t="shared" si="50"/>
        <v>775.35531549046084</v>
      </c>
      <c r="X498">
        <f t="shared" si="49"/>
        <v>45.327261776470458</v>
      </c>
    </row>
    <row r="499" spans="1:24" hidden="1" x14ac:dyDescent="0.2">
      <c r="A499" t="s">
        <v>1009</v>
      </c>
      <c r="B499" t="s">
        <v>1010</v>
      </c>
      <c r="C499">
        <v>1998</v>
      </c>
      <c r="D499">
        <v>1</v>
      </c>
      <c r="E499">
        <v>1</v>
      </c>
      <c r="F499">
        <v>88</v>
      </c>
      <c r="G499">
        <v>169</v>
      </c>
      <c r="H499">
        <f t="shared" si="52"/>
        <v>30.811246104828268</v>
      </c>
      <c r="I499">
        <v>100</v>
      </c>
      <c r="J499">
        <v>105</v>
      </c>
      <c r="K499">
        <v>5.55</v>
      </c>
      <c r="L499">
        <v>0</v>
      </c>
      <c r="M499">
        <v>0</v>
      </c>
      <c r="N499">
        <v>0</v>
      </c>
      <c r="O499">
        <v>73</v>
      </c>
      <c r="P499">
        <v>0</v>
      </c>
      <c r="Q499">
        <v>63</v>
      </c>
      <c r="R499">
        <v>52</v>
      </c>
      <c r="S499">
        <v>333</v>
      </c>
      <c r="T499">
        <v>8.1</v>
      </c>
      <c r="V499">
        <v>1</v>
      </c>
      <c r="W499">
        <f t="shared" si="50"/>
        <v>825.12726107459696</v>
      </c>
      <c r="X499">
        <f t="shared" si="49"/>
        <v>68.212702609591915</v>
      </c>
    </row>
    <row r="500" spans="1:24" x14ac:dyDescent="0.2">
      <c r="A500" t="s">
        <v>1011</v>
      </c>
      <c r="B500" t="s">
        <v>613</v>
      </c>
      <c r="C500">
        <v>1971</v>
      </c>
      <c r="D500">
        <v>1</v>
      </c>
      <c r="E500">
        <v>0</v>
      </c>
      <c r="F500">
        <v>67</v>
      </c>
      <c r="G500">
        <v>164</v>
      </c>
      <c r="H500">
        <f t="shared" si="52"/>
        <v>24.910767400356935</v>
      </c>
      <c r="I500">
        <v>87</v>
      </c>
      <c r="J500">
        <v>94</v>
      </c>
      <c r="K500">
        <v>5.9</v>
      </c>
      <c r="L500">
        <v>0</v>
      </c>
      <c r="M500">
        <v>0</v>
      </c>
      <c r="N500">
        <v>0</v>
      </c>
      <c r="O500">
        <v>78</v>
      </c>
      <c r="P500">
        <v>0</v>
      </c>
      <c r="Q500">
        <v>50</v>
      </c>
      <c r="R500">
        <v>32</v>
      </c>
      <c r="S500">
        <v>227</v>
      </c>
      <c r="T500">
        <v>5.2</v>
      </c>
      <c r="V500">
        <v>0</v>
      </c>
      <c r="W500">
        <f t="shared" si="50"/>
        <v>713.99650927076959</v>
      </c>
      <c r="X500">
        <f t="shared" si="49"/>
        <v>26.28783733846549</v>
      </c>
    </row>
    <row r="501" spans="1:24" x14ac:dyDescent="0.2">
      <c r="A501" t="s">
        <v>1012</v>
      </c>
      <c r="B501" t="s">
        <v>1013</v>
      </c>
      <c r="C501">
        <v>1978</v>
      </c>
      <c r="D501">
        <v>1</v>
      </c>
      <c r="E501">
        <v>0</v>
      </c>
      <c r="F501">
        <v>67</v>
      </c>
      <c r="G501">
        <v>170</v>
      </c>
      <c r="H501">
        <f t="shared" si="52"/>
        <v>23.183391003460208</v>
      </c>
      <c r="I501">
        <v>86</v>
      </c>
      <c r="J501">
        <v>106</v>
      </c>
      <c r="K501">
        <v>6.2</v>
      </c>
      <c r="L501">
        <v>0</v>
      </c>
      <c r="M501">
        <v>0</v>
      </c>
      <c r="N501">
        <v>0</v>
      </c>
      <c r="O501">
        <v>122</v>
      </c>
      <c r="P501">
        <v>0</v>
      </c>
      <c r="Q501">
        <v>55</v>
      </c>
      <c r="R501">
        <v>32</v>
      </c>
      <c r="S501">
        <v>258</v>
      </c>
      <c r="T501">
        <v>6.3</v>
      </c>
      <c r="V501">
        <v>0</v>
      </c>
      <c r="W501">
        <f t="shared" si="50"/>
        <v>754.59091441254259</v>
      </c>
      <c r="X501">
        <f t="shared" si="49"/>
        <v>28.948671958444137</v>
      </c>
    </row>
    <row r="502" spans="1:24" x14ac:dyDescent="0.2">
      <c r="A502" t="s">
        <v>1014</v>
      </c>
      <c r="B502" t="s">
        <v>1015</v>
      </c>
      <c r="C502">
        <v>1978</v>
      </c>
      <c r="D502">
        <v>1</v>
      </c>
      <c r="E502">
        <v>1</v>
      </c>
      <c r="F502">
        <v>76</v>
      </c>
      <c r="G502">
        <v>174</v>
      </c>
      <c r="H502">
        <f t="shared" si="52"/>
        <v>25.102391333069097</v>
      </c>
      <c r="I502">
        <v>95</v>
      </c>
      <c r="J502">
        <v>108</v>
      </c>
      <c r="K502">
        <v>5.98</v>
      </c>
      <c r="L502">
        <v>0</v>
      </c>
      <c r="M502">
        <v>0</v>
      </c>
      <c r="N502">
        <v>0</v>
      </c>
      <c r="O502">
        <v>296</v>
      </c>
      <c r="P502">
        <v>0</v>
      </c>
      <c r="Q502">
        <v>74</v>
      </c>
      <c r="R502">
        <v>208</v>
      </c>
      <c r="S502">
        <v>232</v>
      </c>
      <c r="T502">
        <v>6.8</v>
      </c>
      <c r="V502">
        <v>0</v>
      </c>
      <c r="W502">
        <f t="shared" si="50"/>
        <v>919.53763258439176</v>
      </c>
      <c r="X502">
        <f t="shared" si="49"/>
        <v>88.437175962511446</v>
      </c>
    </row>
    <row r="503" spans="1:24" hidden="1" x14ac:dyDescent="0.2">
      <c r="A503" t="s">
        <v>1016</v>
      </c>
      <c r="B503" t="s">
        <v>1017</v>
      </c>
      <c r="C503">
        <v>1977</v>
      </c>
      <c r="D503">
        <v>1</v>
      </c>
      <c r="E503">
        <v>0</v>
      </c>
      <c r="F503">
        <v>64</v>
      </c>
      <c r="G503">
        <v>167</v>
      </c>
      <c r="H503">
        <f t="shared" si="52"/>
        <v>22.948115744558788</v>
      </c>
      <c r="I503">
        <v>81</v>
      </c>
      <c r="J503">
        <v>114</v>
      </c>
      <c r="K503">
        <v>5.91</v>
      </c>
      <c r="L503">
        <v>0</v>
      </c>
      <c r="M503">
        <v>0</v>
      </c>
      <c r="N503">
        <v>1</v>
      </c>
      <c r="O503">
        <v>397</v>
      </c>
      <c r="P503">
        <v>0</v>
      </c>
      <c r="Q503">
        <v>50</v>
      </c>
      <c r="R503">
        <v>86</v>
      </c>
      <c r="S503">
        <v>209</v>
      </c>
      <c r="T503">
        <v>6.4</v>
      </c>
      <c r="V503">
        <v>1</v>
      </c>
      <c r="W503">
        <f t="shared" si="50"/>
        <v>812.18599143026097</v>
      </c>
      <c r="X503">
        <f t="shared" si="49"/>
        <v>65.445969817216238</v>
      </c>
    </row>
    <row r="504" spans="1:24" x14ac:dyDescent="0.2">
      <c r="A504" t="s">
        <v>1018</v>
      </c>
      <c r="B504" t="s">
        <v>1019</v>
      </c>
      <c r="C504">
        <v>1997</v>
      </c>
      <c r="D504">
        <v>1</v>
      </c>
      <c r="E504">
        <v>1</v>
      </c>
      <c r="F504">
        <v>60</v>
      </c>
      <c r="G504">
        <v>165</v>
      </c>
      <c r="H504">
        <f t="shared" si="52"/>
        <v>22.03856749311295</v>
      </c>
      <c r="I504">
        <v>82</v>
      </c>
      <c r="J504">
        <v>96</v>
      </c>
      <c r="K504">
        <v>5.42</v>
      </c>
      <c r="L504">
        <v>0</v>
      </c>
      <c r="M504">
        <v>0</v>
      </c>
      <c r="N504">
        <v>0</v>
      </c>
      <c r="O504">
        <v>231</v>
      </c>
      <c r="P504">
        <v>0</v>
      </c>
      <c r="Q504">
        <v>47</v>
      </c>
      <c r="R504">
        <v>29</v>
      </c>
      <c r="S504">
        <v>223</v>
      </c>
      <c r="T504">
        <v>5</v>
      </c>
      <c r="V504">
        <v>0</v>
      </c>
      <c r="W504">
        <f t="shared" si="50"/>
        <v>763.7167351572341</v>
      </c>
      <c r="X504">
        <f t="shared" si="49"/>
        <v>32.491025444189845</v>
      </c>
    </row>
    <row r="505" spans="1:24" x14ac:dyDescent="0.2">
      <c r="A505" t="s">
        <v>1020</v>
      </c>
      <c r="B505" t="s">
        <v>1021</v>
      </c>
      <c r="C505">
        <v>1992</v>
      </c>
      <c r="D505">
        <v>1</v>
      </c>
      <c r="E505">
        <v>1</v>
      </c>
      <c r="F505">
        <v>60</v>
      </c>
      <c r="G505">
        <v>160</v>
      </c>
      <c r="H505">
        <f t="shared" si="52"/>
        <v>23.437499999999996</v>
      </c>
      <c r="I505">
        <v>82</v>
      </c>
      <c r="J505">
        <v>90</v>
      </c>
      <c r="K505">
        <v>5.23</v>
      </c>
      <c r="L505">
        <v>0</v>
      </c>
      <c r="M505">
        <v>0</v>
      </c>
      <c r="N505">
        <v>0</v>
      </c>
      <c r="O505">
        <v>108</v>
      </c>
      <c r="P505">
        <v>0</v>
      </c>
      <c r="Q505">
        <v>78</v>
      </c>
      <c r="R505">
        <v>30</v>
      </c>
      <c r="S505">
        <v>221</v>
      </c>
      <c r="T505">
        <v>4.0999999999999996</v>
      </c>
      <c r="V505">
        <v>0</v>
      </c>
      <c r="W505">
        <f t="shared" si="50"/>
        <v>696.08108478535223</v>
      </c>
      <c r="X505">
        <f t="shared" ref="X505:X524" si="53">100*EXP(0.953*LN(O505)+0.139*H505+0.718*LN(R505)+0.053*I505-15.745)/(1+EXP(0.953*LN(O505)+0.139*H505+0.718*LN(R505)+0.053*I505-15.745))</f>
        <v>22.494872161645269</v>
      </c>
    </row>
    <row r="506" spans="1:24" x14ac:dyDescent="0.2">
      <c r="A506" t="s">
        <v>1022</v>
      </c>
      <c r="B506" t="s">
        <v>1023</v>
      </c>
      <c r="C506">
        <v>2000</v>
      </c>
      <c r="D506">
        <v>1</v>
      </c>
      <c r="E506">
        <v>0</v>
      </c>
      <c r="F506">
        <v>64</v>
      </c>
      <c r="G506">
        <v>170</v>
      </c>
      <c r="H506">
        <f t="shared" si="52"/>
        <v>22.145328719723185</v>
      </c>
      <c r="I506">
        <v>80</v>
      </c>
      <c r="J506">
        <v>97</v>
      </c>
      <c r="K506">
        <v>5.7</v>
      </c>
      <c r="L506">
        <v>0</v>
      </c>
      <c r="M506">
        <v>0</v>
      </c>
      <c r="N506">
        <v>0</v>
      </c>
      <c r="O506">
        <v>89</v>
      </c>
      <c r="P506">
        <v>0</v>
      </c>
      <c r="Q506">
        <v>43</v>
      </c>
      <c r="R506">
        <v>32</v>
      </c>
      <c r="S506">
        <v>250</v>
      </c>
      <c r="T506">
        <v>5.0999999999999996</v>
      </c>
      <c r="V506">
        <v>0</v>
      </c>
      <c r="W506">
        <f t="shared" si="50"/>
        <v>669.61601341404617</v>
      </c>
      <c r="X506">
        <f t="shared" si="53"/>
        <v>15.966396448794287</v>
      </c>
    </row>
    <row r="507" spans="1:24" x14ac:dyDescent="0.2">
      <c r="A507" t="s">
        <v>1024</v>
      </c>
      <c r="B507" t="s">
        <v>1025</v>
      </c>
      <c r="C507">
        <v>1986</v>
      </c>
      <c r="D507">
        <v>1</v>
      </c>
      <c r="E507">
        <v>1</v>
      </c>
      <c r="F507">
        <v>58</v>
      </c>
      <c r="G507">
        <v>161</v>
      </c>
      <c r="H507">
        <f t="shared" si="52"/>
        <v>22.375679950619187</v>
      </c>
      <c r="I507">
        <v>80</v>
      </c>
      <c r="J507">
        <v>105</v>
      </c>
      <c r="K507">
        <v>6</v>
      </c>
      <c r="L507">
        <v>0</v>
      </c>
      <c r="M507">
        <v>0</v>
      </c>
      <c r="N507">
        <v>0</v>
      </c>
      <c r="O507">
        <v>84</v>
      </c>
      <c r="P507">
        <v>0</v>
      </c>
      <c r="Q507">
        <v>62</v>
      </c>
      <c r="R507">
        <v>39</v>
      </c>
      <c r="S507">
        <v>320</v>
      </c>
      <c r="T507">
        <v>6.7</v>
      </c>
      <c r="V507">
        <v>0</v>
      </c>
      <c r="W507">
        <f t="shared" si="50"/>
        <v>671.33039747527141</v>
      </c>
      <c r="X507">
        <f t="shared" si="53"/>
        <v>17.627741691577807</v>
      </c>
    </row>
    <row r="508" spans="1:24" x14ac:dyDescent="0.2">
      <c r="A508" t="s">
        <v>1026</v>
      </c>
      <c r="B508" t="s">
        <v>1027</v>
      </c>
      <c r="C508">
        <v>1993</v>
      </c>
      <c r="D508">
        <v>1</v>
      </c>
      <c r="E508">
        <v>0</v>
      </c>
      <c r="F508">
        <v>77</v>
      </c>
      <c r="G508">
        <v>169</v>
      </c>
      <c r="H508">
        <f t="shared" si="52"/>
        <v>26.959840341724732</v>
      </c>
      <c r="I508">
        <v>91</v>
      </c>
      <c r="J508">
        <v>99</v>
      </c>
      <c r="K508">
        <v>6.13</v>
      </c>
      <c r="L508">
        <v>0</v>
      </c>
      <c r="M508">
        <v>0</v>
      </c>
      <c r="N508">
        <v>0</v>
      </c>
      <c r="O508">
        <v>87</v>
      </c>
      <c r="P508">
        <v>0</v>
      </c>
      <c r="Q508">
        <v>36</v>
      </c>
      <c r="R508">
        <v>26</v>
      </c>
      <c r="S508">
        <v>229</v>
      </c>
      <c r="T508">
        <v>7.5</v>
      </c>
      <c r="V508">
        <v>0</v>
      </c>
      <c r="W508">
        <f t="shared" si="50"/>
        <v>761.47715172885978</v>
      </c>
      <c r="X508">
        <f t="shared" si="53"/>
        <v>35.910324419693538</v>
      </c>
    </row>
    <row r="509" spans="1:24" x14ac:dyDescent="0.2">
      <c r="A509" t="s">
        <v>1028</v>
      </c>
      <c r="B509" t="s">
        <v>886</v>
      </c>
      <c r="C509">
        <v>1984</v>
      </c>
      <c r="D509">
        <v>1</v>
      </c>
      <c r="E509">
        <v>1</v>
      </c>
      <c r="F509">
        <v>73</v>
      </c>
      <c r="G509">
        <v>168</v>
      </c>
      <c r="H509">
        <f t="shared" si="52"/>
        <v>25.864512471655331</v>
      </c>
      <c r="I509">
        <v>103</v>
      </c>
      <c r="J509">
        <v>96</v>
      </c>
      <c r="K509">
        <v>5.83</v>
      </c>
      <c r="L509">
        <v>0</v>
      </c>
      <c r="M509">
        <v>0</v>
      </c>
      <c r="N509">
        <v>0</v>
      </c>
      <c r="O509">
        <v>189</v>
      </c>
      <c r="P509">
        <v>0</v>
      </c>
      <c r="Q509">
        <v>52</v>
      </c>
      <c r="R509">
        <v>70</v>
      </c>
      <c r="S509">
        <v>310</v>
      </c>
      <c r="T509">
        <v>8.5</v>
      </c>
      <c r="V509">
        <v>0</v>
      </c>
      <c r="W509">
        <f t="shared" si="50"/>
        <v>938.63364667465589</v>
      </c>
      <c r="X509">
        <f t="shared" si="53"/>
        <v>79.49412554766883</v>
      </c>
    </row>
    <row r="510" spans="1:24" x14ac:dyDescent="0.2">
      <c r="A510" t="s">
        <v>1029</v>
      </c>
      <c r="B510" t="s">
        <v>1030</v>
      </c>
      <c r="C510">
        <v>1981</v>
      </c>
      <c r="D510">
        <v>1</v>
      </c>
      <c r="E510">
        <v>0</v>
      </c>
      <c r="F510">
        <v>68</v>
      </c>
      <c r="G510">
        <v>173</v>
      </c>
      <c r="H510">
        <f t="shared" si="52"/>
        <v>22.720438370810918</v>
      </c>
      <c r="I510">
        <v>84</v>
      </c>
      <c r="J510">
        <v>96</v>
      </c>
      <c r="K510">
        <v>5.74</v>
      </c>
      <c r="L510">
        <v>0</v>
      </c>
      <c r="M510">
        <v>0</v>
      </c>
      <c r="N510">
        <v>0</v>
      </c>
      <c r="O510">
        <v>142</v>
      </c>
      <c r="P510">
        <v>0</v>
      </c>
      <c r="Q510">
        <v>46</v>
      </c>
      <c r="R510">
        <v>36</v>
      </c>
      <c r="S510">
        <v>210</v>
      </c>
      <c r="T510">
        <v>5.7</v>
      </c>
      <c r="V510">
        <v>0</v>
      </c>
      <c r="W510">
        <f t="shared" si="50"/>
        <v>741.47035775476877</v>
      </c>
      <c r="X510">
        <f t="shared" si="53"/>
        <v>30.174769542209074</v>
      </c>
    </row>
    <row r="511" spans="1:24" hidden="1" x14ac:dyDescent="0.2">
      <c r="A511" t="s">
        <v>1032</v>
      </c>
      <c r="B511" t="s">
        <v>1031</v>
      </c>
      <c r="C511">
        <v>1988</v>
      </c>
      <c r="D511">
        <v>1</v>
      </c>
      <c r="E511">
        <v>1</v>
      </c>
      <c r="F511">
        <v>82</v>
      </c>
      <c r="G511">
        <v>164</v>
      </c>
      <c r="H511">
        <f t="shared" si="52"/>
        <v>30.487804878048784</v>
      </c>
      <c r="I511">
        <v>94</v>
      </c>
      <c r="J511">
        <v>99</v>
      </c>
      <c r="K511">
        <v>6.2</v>
      </c>
      <c r="L511">
        <v>0</v>
      </c>
      <c r="M511">
        <v>0</v>
      </c>
      <c r="N511">
        <v>0</v>
      </c>
      <c r="O511">
        <v>109</v>
      </c>
      <c r="P511">
        <v>0</v>
      </c>
      <c r="Q511">
        <v>54</v>
      </c>
      <c r="R511">
        <v>96</v>
      </c>
      <c r="S511">
        <v>312</v>
      </c>
      <c r="T511">
        <v>7</v>
      </c>
      <c r="V511">
        <v>1</v>
      </c>
      <c r="W511">
        <f t="shared" si="50"/>
        <v>807.77213186955612</v>
      </c>
      <c r="X511">
        <f t="shared" si="53"/>
        <v>77.256671261413857</v>
      </c>
    </row>
    <row r="512" spans="1:24" x14ac:dyDescent="0.2">
      <c r="A512" t="s">
        <v>1033</v>
      </c>
      <c r="B512" t="s">
        <v>1034</v>
      </c>
      <c r="C512">
        <v>1983</v>
      </c>
      <c r="D512">
        <v>1</v>
      </c>
      <c r="E512">
        <v>0</v>
      </c>
      <c r="F512">
        <v>63</v>
      </c>
      <c r="G512">
        <v>171</v>
      </c>
      <c r="H512">
        <f t="shared" si="52"/>
        <v>21.545090797168363</v>
      </c>
      <c r="I512">
        <v>79</v>
      </c>
      <c r="J512">
        <v>90</v>
      </c>
      <c r="K512">
        <v>5.2</v>
      </c>
      <c r="L512">
        <v>0</v>
      </c>
      <c r="M512">
        <v>0</v>
      </c>
      <c r="N512">
        <v>0</v>
      </c>
      <c r="O512">
        <v>188</v>
      </c>
      <c r="P512">
        <v>0</v>
      </c>
      <c r="Q512">
        <v>45</v>
      </c>
      <c r="R512">
        <v>52</v>
      </c>
      <c r="S512">
        <v>191</v>
      </c>
      <c r="T512">
        <v>5</v>
      </c>
      <c r="V512">
        <v>0</v>
      </c>
      <c r="W512">
        <f t="shared" ref="W512:W524" si="54">LN(O512*J512/2)*I512</f>
        <v>714.40525175542132</v>
      </c>
      <c r="X512">
        <f t="shared" si="53"/>
        <v>32.389911731028192</v>
      </c>
    </row>
    <row r="513" spans="1:24" hidden="1" x14ac:dyDescent="0.2">
      <c r="A513" t="s">
        <v>1035</v>
      </c>
      <c r="B513" t="s">
        <v>1036</v>
      </c>
      <c r="C513">
        <v>1996</v>
      </c>
      <c r="D513">
        <v>1</v>
      </c>
      <c r="E513">
        <v>1</v>
      </c>
      <c r="F513">
        <v>102</v>
      </c>
      <c r="G513">
        <v>181</v>
      </c>
      <c r="H513">
        <f t="shared" si="52"/>
        <v>31.134580751503311</v>
      </c>
      <c r="I513">
        <v>106</v>
      </c>
      <c r="J513">
        <v>101</v>
      </c>
      <c r="K513">
        <v>5.82</v>
      </c>
      <c r="L513">
        <v>0</v>
      </c>
      <c r="M513">
        <v>0</v>
      </c>
      <c r="N513">
        <v>0</v>
      </c>
      <c r="O513">
        <v>140</v>
      </c>
      <c r="P513">
        <v>0</v>
      </c>
      <c r="Q513">
        <v>40</v>
      </c>
      <c r="R513">
        <v>78</v>
      </c>
      <c r="S513">
        <v>331</v>
      </c>
      <c r="T513">
        <v>7.9</v>
      </c>
      <c r="V513">
        <v>1</v>
      </c>
      <c r="W513">
        <f t="shared" si="54"/>
        <v>939.54327044240563</v>
      </c>
      <c r="X513">
        <f t="shared" si="53"/>
        <v>88.475076000395205</v>
      </c>
    </row>
    <row r="514" spans="1:24" x14ac:dyDescent="0.2">
      <c r="A514" t="s">
        <v>1037</v>
      </c>
      <c r="B514" t="s">
        <v>1038</v>
      </c>
      <c r="C514">
        <v>2000</v>
      </c>
      <c r="D514">
        <v>1</v>
      </c>
      <c r="E514">
        <v>1</v>
      </c>
      <c r="F514">
        <v>95</v>
      </c>
      <c r="G514">
        <v>162</v>
      </c>
      <c r="H514">
        <f t="shared" si="52"/>
        <v>36.198750190519732</v>
      </c>
      <c r="I514">
        <v>107</v>
      </c>
      <c r="J514">
        <v>97</v>
      </c>
      <c r="K514">
        <v>6.34</v>
      </c>
      <c r="L514">
        <v>0</v>
      </c>
      <c r="M514">
        <v>0</v>
      </c>
      <c r="N514">
        <v>0</v>
      </c>
      <c r="O514">
        <v>112</v>
      </c>
      <c r="P514">
        <v>0</v>
      </c>
      <c r="Q514">
        <v>44</v>
      </c>
      <c r="R514">
        <v>62</v>
      </c>
      <c r="S514">
        <v>349</v>
      </c>
      <c r="T514">
        <v>7.1</v>
      </c>
      <c r="V514">
        <v>0</v>
      </c>
      <c r="W514">
        <f t="shared" si="54"/>
        <v>920.20670560852295</v>
      </c>
      <c r="X514">
        <f t="shared" si="53"/>
        <v>91.8162452875887</v>
      </c>
    </row>
    <row r="515" spans="1:24" x14ac:dyDescent="0.2">
      <c r="A515" t="s">
        <v>1039</v>
      </c>
      <c r="B515" t="s">
        <v>1040</v>
      </c>
      <c r="C515">
        <v>2001</v>
      </c>
      <c r="D515">
        <v>1</v>
      </c>
      <c r="E515">
        <v>1</v>
      </c>
      <c r="F515">
        <v>85</v>
      </c>
      <c r="G515">
        <v>164</v>
      </c>
      <c r="H515">
        <f t="shared" si="52"/>
        <v>31.603212373587155</v>
      </c>
      <c r="I515">
        <v>102</v>
      </c>
      <c r="J515">
        <v>92</v>
      </c>
      <c r="K515">
        <v>5.92</v>
      </c>
      <c r="L515">
        <v>0</v>
      </c>
      <c r="M515">
        <v>0</v>
      </c>
      <c r="N515">
        <v>0</v>
      </c>
      <c r="O515">
        <v>161</v>
      </c>
      <c r="P515">
        <v>0</v>
      </c>
      <c r="Q515">
        <v>47</v>
      </c>
      <c r="R515">
        <v>84</v>
      </c>
      <c r="S515">
        <v>317</v>
      </c>
      <c r="T515">
        <v>8.4</v>
      </c>
      <c r="V515">
        <v>0</v>
      </c>
      <c r="W515">
        <f t="shared" si="54"/>
        <v>908.82466767030292</v>
      </c>
      <c r="X515">
        <f t="shared" si="53"/>
        <v>88.87218457631343</v>
      </c>
    </row>
    <row r="516" spans="1:24" x14ac:dyDescent="0.2">
      <c r="A516" t="s">
        <v>1041</v>
      </c>
      <c r="B516" t="s">
        <v>1042</v>
      </c>
      <c r="C516">
        <v>1996</v>
      </c>
      <c r="D516">
        <v>1</v>
      </c>
      <c r="E516">
        <v>1</v>
      </c>
      <c r="F516">
        <v>63</v>
      </c>
      <c r="G516">
        <v>156</v>
      </c>
      <c r="H516">
        <f t="shared" si="52"/>
        <v>25.88757396449704</v>
      </c>
      <c r="I516">
        <v>85</v>
      </c>
      <c r="J516">
        <v>90</v>
      </c>
      <c r="K516">
        <v>5.67</v>
      </c>
      <c r="L516">
        <v>0</v>
      </c>
      <c r="M516">
        <v>0</v>
      </c>
      <c r="N516">
        <v>0</v>
      </c>
      <c r="O516">
        <v>82</v>
      </c>
      <c r="P516">
        <v>0</v>
      </c>
      <c r="Q516">
        <v>46</v>
      </c>
      <c r="R516">
        <v>43</v>
      </c>
      <c r="S516">
        <v>270</v>
      </c>
      <c r="T516">
        <v>5.5</v>
      </c>
      <c r="V516">
        <v>0</v>
      </c>
      <c r="W516">
        <f t="shared" si="54"/>
        <v>698.13744764793864</v>
      </c>
      <c r="X516">
        <f t="shared" si="53"/>
        <v>32.268013583450632</v>
      </c>
    </row>
    <row r="517" spans="1:24" x14ac:dyDescent="0.2">
      <c r="A517" t="s">
        <v>1043</v>
      </c>
      <c r="B517" t="s">
        <v>1044</v>
      </c>
      <c r="C517">
        <v>1988</v>
      </c>
      <c r="D517">
        <v>0</v>
      </c>
      <c r="E517">
        <v>0</v>
      </c>
      <c r="F517">
        <v>53</v>
      </c>
      <c r="G517">
        <v>158</v>
      </c>
      <c r="H517">
        <f t="shared" si="52"/>
        <v>21.230572023714146</v>
      </c>
      <c r="I517">
        <v>71</v>
      </c>
      <c r="J517">
        <v>97</v>
      </c>
      <c r="K517">
        <v>5.33</v>
      </c>
      <c r="L517">
        <v>0</v>
      </c>
      <c r="M517">
        <v>0</v>
      </c>
      <c r="N517">
        <v>0</v>
      </c>
      <c r="O517">
        <v>157</v>
      </c>
      <c r="P517">
        <v>0</v>
      </c>
      <c r="Q517">
        <v>53</v>
      </c>
      <c r="R517">
        <v>33</v>
      </c>
      <c r="S517">
        <v>239</v>
      </c>
      <c r="T517">
        <v>4.4000000000000004</v>
      </c>
      <c r="V517">
        <v>0</v>
      </c>
      <c r="W517">
        <f t="shared" si="54"/>
        <v>634.58448183371388</v>
      </c>
      <c r="X517">
        <f t="shared" si="53"/>
        <v>15.422304140886171</v>
      </c>
    </row>
    <row r="518" spans="1:24" x14ac:dyDescent="0.2">
      <c r="A518" t="s">
        <v>1045</v>
      </c>
      <c r="B518" t="s">
        <v>1046</v>
      </c>
      <c r="C518">
        <v>1997</v>
      </c>
      <c r="D518">
        <v>0</v>
      </c>
      <c r="E518">
        <v>0</v>
      </c>
      <c r="F518">
        <v>52</v>
      </c>
      <c r="G518">
        <v>148</v>
      </c>
      <c r="H518">
        <f t="shared" si="52"/>
        <v>23.739956172388606</v>
      </c>
      <c r="I518">
        <v>79</v>
      </c>
      <c r="J518">
        <v>86</v>
      </c>
      <c r="K518">
        <v>5.38</v>
      </c>
      <c r="L518">
        <v>0</v>
      </c>
      <c r="M518">
        <v>0</v>
      </c>
      <c r="N518">
        <v>0</v>
      </c>
      <c r="O518">
        <v>83</v>
      </c>
      <c r="P518">
        <v>0</v>
      </c>
      <c r="Q518">
        <v>41</v>
      </c>
      <c r="R518">
        <v>8</v>
      </c>
      <c r="S518">
        <v>267</v>
      </c>
      <c r="T518">
        <v>3.8</v>
      </c>
      <c r="V518">
        <v>0</v>
      </c>
      <c r="W518">
        <f t="shared" si="54"/>
        <v>646.22321715572264</v>
      </c>
      <c r="X518">
        <f t="shared" si="53"/>
        <v>7.216143699001802</v>
      </c>
    </row>
    <row r="519" spans="1:24" x14ac:dyDescent="0.2">
      <c r="A519" t="s">
        <v>1047</v>
      </c>
      <c r="B519" t="s">
        <v>1048</v>
      </c>
      <c r="C519">
        <v>1992</v>
      </c>
      <c r="D519">
        <v>0</v>
      </c>
      <c r="E519">
        <v>0</v>
      </c>
      <c r="F519">
        <v>51</v>
      </c>
      <c r="G519">
        <v>159</v>
      </c>
      <c r="H519">
        <f t="shared" si="52"/>
        <v>20.173252640322769</v>
      </c>
      <c r="I519">
        <v>73</v>
      </c>
      <c r="J519">
        <v>92</v>
      </c>
      <c r="K519">
        <v>5.15</v>
      </c>
      <c r="L519">
        <v>0</v>
      </c>
      <c r="M519">
        <v>0</v>
      </c>
      <c r="N519">
        <v>0</v>
      </c>
      <c r="O519">
        <v>69</v>
      </c>
      <c r="P519">
        <v>0</v>
      </c>
      <c r="Q519">
        <v>46</v>
      </c>
      <c r="R519">
        <v>12</v>
      </c>
      <c r="S519">
        <v>205</v>
      </c>
      <c r="T519">
        <v>4.0999999999999996</v>
      </c>
      <c r="V519">
        <v>0</v>
      </c>
      <c r="W519">
        <f t="shared" si="54"/>
        <v>588.58059677930385</v>
      </c>
      <c r="X519">
        <f t="shared" si="53"/>
        <v>3.7231729467000769</v>
      </c>
    </row>
    <row r="520" spans="1:24" x14ac:dyDescent="0.2">
      <c r="A520" t="s">
        <v>1049</v>
      </c>
      <c r="B520" t="s">
        <v>1050</v>
      </c>
      <c r="C520">
        <v>1992</v>
      </c>
      <c r="D520">
        <v>1</v>
      </c>
      <c r="E520">
        <v>1</v>
      </c>
      <c r="F520">
        <v>67</v>
      </c>
      <c r="G520">
        <v>167</v>
      </c>
      <c r="H520">
        <f t="shared" si="52"/>
        <v>24.023808670084982</v>
      </c>
      <c r="I520">
        <v>83</v>
      </c>
      <c r="J520">
        <v>88</v>
      </c>
      <c r="K520">
        <v>5.7</v>
      </c>
      <c r="L520">
        <v>0</v>
      </c>
      <c r="M520">
        <v>0</v>
      </c>
      <c r="N520">
        <v>0</v>
      </c>
      <c r="O520">
        <v>123</v>
      </c>
      <c r="P520">
        <v>0</v>
      </c>
      <c r="Q520">
        <v>49</v>
      </c>
      <c r="R520">
        <v>43</v>
      </c>
      <c r="S520">
        <v>208</v>
      </c>
      <c r="T520">
        <v>5.8</v>
      </c>
      <c r="V520">
        <v>0</v>
      </c>
      <c r="W520">
        <f t="shared" si="54"/>
        <v>713.49904111112642</v>
      </c>
      <c r="X520">
        <f t="shared" si="53"/>
        <v>32.736276662175449</v>
      </c>
    </row>
    <row r="521" spans="1:24" x14ac:dyDescent="0.2">
      <c r="A521" t="s">
        <v>1051</v>
      </c>
      <c r="B521" t="s">
        <v>1052</v>
      </c>
      <c r="C521">
        <v>1986</v>
      </c>
      <c r="D521">
        <v>1</v>
      </c>
      <c r="E521">
        <v>1</v>
      </c>
      <c r="F521">
        <v>83</v>
      </c>
      <c r="G521">
        <v>185</v>
      </c>
      <c r="H521">
        <f t="shared" si="52"/>
        <v>24.251278305332356</v>
      </c>
      <c r="I521">
        <v>92</v>
      </c>
      <c r="J521">
        <v>92</v>
      </c>
      <c r="K521">
        <v>5.16</v>
      </c>
      <c r="L521">
        <v>0</v>
      </c>
      <c r="M521">
        <v>0</v>
      </c>
      <c r="N521">
        <v>0</v>
      </c>
      <c r="O521">
        <v>98</v>
      </c>
      <c r="P521">
        <v>0</v>
      </c>
      <c r="Q521">
        <v>48</v>
      </c>
      <c r="R521">
        <v>19</v>
      </c>
      <c r="S521">
        <v>269</v>
      </c>
      <c r="T521">
        <v>8</v>
      </c>
      <c r="V521">
        <v>0</v>
      </c>
      <c r="W521">
        <f t="shared" si="54"/>
        <v>774.0520165146894</v>
      </c>
      <c r="X521">
        <f t="shared" si="53"/>
        <v>26.610185140436997</v>
      </c>
    </row>
    <row r="522" spans="1:24" x14ac:dyDescent="0.2">
      <c r="A522" t="s">
        <v>1053</v>
      </c>
      <c r="B522" t="s">
        <v>1054</v>
      </c>
      <c r="C522">
        <v>1969</v>
      </c>
      <c r="D522">
        <v>0</v>
      </c>
      <c r="E522">
        <v>1</v>
      </c>
      <c r="F522">
        <v>57</v>
      </c>
      <c r="G522">
        <v>157</v>
      </c>
      <c r="H522">
        <f t="shared" si="52"/>
        <v>23.124670372023203</v>
      </c>
      <c r="I522">
        <v>77</v>
      </c>
      <c r="J522">
        <v>83</v>
      </c>
      <c r="K522">
        <v>5.89</v>
      </c>
      <c r="L522">
        <v>0</v>
      </c>
      <c r="M522">
        <v>0</v>
      </c>
      <c r="N522">
        <v>0</v>
      </c>
      <c r="O522">
        <v>196</v>
      </c>
      <c r="P522">
        <v>0</v>
      </c>
      <c r="Q522">
        <v>37</v>
      </c>
      <c r="R522">
        <v>16</v>
      </c>
      <c r="S522">
        <v>302</v>
      </c>
      <c r="T522">
        <v>4.9000000000000004</v>
      </c>
      <c r="V522">
        <v>0</v>
      </c>
      <c r="W522">
        <f t="shared" si="54"/>
        <v>693.29322265797214</v>
      </c>
      <c r="X522">
        <f t="shared" si="53"/>
        <v>19.326875568264704</v>
      </c>
    </row>
    <row r="523" spans="1:24" x14ac:dyDescent="0.2">
      <c r="A523" t="s">
        <v>1055</v>
      </c>
      <c r="B523" t="s">
        <v>1056</v>
      </c>
      <c r="C523">
        <v>2000</v>
      </c>
      <c r="D523">
        <v>1</v>
      </c>
      <c r="E523">
        <v>1</v>
      </c>
      <c r="F523">
        <v>88</v>
      </c>
      <c r="G523">
        <v>168</v>
      </c>
      <c r="H523">
        <f t="shared" si="52"/>
        <v>31.17913832199547</v>
      </c>
      <c r="I523">
        <v>98</v>
      </c>
      <c r="J523">
        <v>92</v>
      </c>
      <c r="K523">
        <v>5.64</v>
      </c>
      <c r="L523">
        <v>0</v>
      </c>
      <c r="M523">
        <v>0</v>
      </c>
      <c r="N523">
        <v>0</v>
      </c>
      <c r="O523">
        <v>98</v>
      </c>
      <c r="P523">
        <v>0</v>
      </c>
      <c r="Q523">
        <v>42</v>
      </c>
      <c r="R523">
        <v>25</v>
      </c>
      <c r="S523">
        <v>238</v>
      </c>
      <c r="T523">
        <v>9.1999999999999993</v>
      </c>
      <c r="V523">
        <v>0</v>
      </c>
      <c r="W523">
        <f t="shared" si="54"/>
        <v>824.53366976564735</v>
      </c>
      <c r="X523">
        <f t="shared" si="53"/>
        <v>61.385056239051636</v>
      </c>
    </row>
    <row r="524" spans="1:24" x14ac:dyDescent="0.2">
      <c r="A524" t="s">
        <v>1057</v>
      </c>
      <c r="B524" t="s">
        <v>1058</v>
      </c>
      <c r="C524">
        <v>1974</v>
      </c>
      <c r="D524">
        <v>0</v>
      </c>
      <c r="E524">
        <v>1</v>
      </c>
      <c r="F524">
        <v>60</v>
      </c>
      <c r="G524">
        <v>150</v>
      </c>
      <c r="H524">
        <f t="shared" si="52"/>
        <v>26.666666666666668</v>
      </c>
      <c r="I524">
        <v>90</v>
      </c>
      <c r="J524">
        <v>88</v>
      </c>
      <c r="K524">
        <v>5.78</v>
      </c>
      <c r="L524">
        <v>0</v>
      </c>
      <c r="M524">
        <v>0</v>
      </c>
      <c r="N524">
        <v>0</v>
      </c>
      <c r="O524">
        <v>537</v>
      </c>
      <c r="P524">
        <v>0</v>
      </c>
      <c r="Q524">
        <v>49</v>
      </c>
      <c r="R524">
        <v>50</v>
      </c>
      <c r="S524">
        <v>317</v>
      </c>
      <c r="T524">
        <v>5.8</v>
      </c>
      <c r="V524">
        <v>0</v>
      </c>
      <c r="W524">
        <f t="shared" si="54"/>
        <v>906.31689555844127</v>
      </c>
      <c r="X524">
        <f t="shared" si="53"/>
        <v>82.216067476732434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Mẫn Võ</dc:creator>
  <cp:lastModifiedBy>An Tran</cp:lastModifiedBy>
  <dcterms:created xsi:type="dcterms:W3CDTF">2026-04-28T14:16:51Z</dcterms:created>
  <dcterms:modified xsi:type="dcterms:W3CDTF">2026-09-03T03:20:32Z</dcterms:modified>
</cp:coreProperties>
</file>